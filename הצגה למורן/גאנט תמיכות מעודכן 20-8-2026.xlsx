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or.bar\Desktop\igudim_DB\הצגה למורן\"/>
    </mc:Choice>
  </mc:AlternateContent>
  <xr:revisionPtr revIDLastSave="0" documentId="8_{9A83BC1E-F202-47EB-9042-244C9658B9B7}" xr6:coauthVersionLast="47" xr6:coauthVersionMax="47" xr10:uidLastSave="{00000000-0000-0000-0000-000000000000}"/>
  <bookViews>
    <workbookView xWindow="44880" yWindow="-5460" windowWidth="18240" windowHeight="28320" activeTab="1" xr2:uid="{239A6681-83D5-449E-B392-6AAD6D213AA8}"/>
  </bookViews>
  <sheets>
    <sheet name="גאנט תמיכות 2026" sheetId="1" r:id="rId1"/>
    <sheet name="גאנט מתקנים" sheetId="2" r:id="rId2"/>
  </sheets>
  <definedNames>
    <definedName name="_xlnm._FilterDatabase" localSheetId="0" hidden="1">'גאנט תמיכות 2026'!$A$2:$AQ$2</definedName>
    <definedName name="_xlnm.Print_Area" localSheetId="0">'גאנט תמיכות 2026'!$B$1:$R$25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Yoav Ram</author>
  </authors>
  <commentList>
    <comment ref="I3" authorId="0" shapeId="0" xr:uid="{4EF726A3-69E8-49CB-96C9-DFAF8367DBDF}">
      <text>
        <r>
          <rPr>
            <b/>
            <sz val="9"/>
            <color indexed="81"/>
            <rFont val="Tahoma"/>
            <family val="2"/>
          </rPr>
          <t>Yoav Ram:</t>
        </r>
        <r>
          <rPr>
            <sz val="9"/>
            <color indexed="81"/>
            <rFont val="Tahoma"/>
            <family val="2"/>
          </rPr>
          <t xml:space="preserve">
23/10/25-18/11/25</t>
        </r>
      </text>
    </comment>
    <comment ref="I4" authorId="0" shapeId="0" xr:uid="{54447FB5-DE6D-4E90-A191-AC5950CEDD61}">
      <text>
        <r>
          <rPr>
            <b/>
            <sz val="9"/>
            <color indexed="81"/>
            <rFont val="Tahoma"/>
            <family val="2"/>
          </rPr>
          <t>Yoav Ram:</t>
        </r>
        <r>
          <rPr>
            <sz val="9"/>
            <color indexed="81"/>
            <rFont val="Tahoma"/>
            <family val="2"/>
          </rPr>
          <t xml:space="preserve">
23/10/25-18/11/25</t>
        </r>
      </text>
    </comment>
    <comment ref="I7" authorId="0" shapeId="0" xr:uid="{2CFC8CD2-8554-4946-B84B-F4F7C8EDA7D1}">
      <text>
        <r>
          <rPr>
            <b/>
            <sz val="9"/>
            <color indexed="81"/>
            <rFont val="Tahoma"/>
            <family val="2"/>
          </rPr>
          <t>Yoav Ram:</t>
        </r>
        <r>
          <rPr>
            <sz val="9"/>
            <color indexed="81"/>
            <rFont val="Tahoma"/>
            <family val="2"/>
          </rPr>
          <t xml:space="preserve">
הוארך ב-5 ימים</t>
        </r>
      </text>
    </comment>
    <comment ref="I8" authorId="0" shapeId="0" xr:uid="{6CDACD83-6FB6-4B6C-B184-86D079AAC634}">
      <text>
        <r>
          <rPr>
            <b/>
            <sz val="9"/>
            <color indexed="81"/>
            <rFont val="Tahoma"/>
            <family val="2"/>
          </rPr>
          <t>Yoav Ram:</t>
        </r>
        <r>
          <rPr>
            <sz val="9"/>
            <color indexed="81"/>
            <rFont val="Tahoma"/>
            <family val="2"/>
          </rPr>
          <t xml:space="preserve">
הוארך ב-5 ימים</t>
        </r>
      </text>
    </comment>
    <comment ref="I9" authorId="0" shapeId="0" xr:uid="{0E9BA646-7DE6-426F-AEBD-9B18860F29FC}">
      <text>
        <r>
          <rPr>
            <b/>
            <sz val="9"/>
            <color indexed="81"/>
            <rFont val="Tahoma"/>
            <family val="2"/>
          </rPr>
          <t>Yoav Ram:</t>
        </r>
        <r>
          <rPr>
            <sz val="9"/>
            <color indexed="81"/>
            <rFont val="Tahoma"/>
            <family val="2"/>
          </rPr>
          <t xml:space="preserve">
הוארך ב-5 ימים
</t>
        </r>
      </text>
    </comment>
    <comment ref="I14" authorId="0" shapeId="0" xr:uid="{2AE8F13E-B4AC-498E-BC95-6E95CEED5C52}">
      <text>
        <r>
          <rPr>
            <b/>
            <sz val="9"/>
            <color indexed="81"/>
            <rFont val="Tahoma"/>
            <family val="2"/>
          </rPr>
          <t>Yoav Ram:</t>
        </r>
        <r>
          <rPr>
            <sz val="9"/>
            <color indexed="81"/>
            <rFont val="Tahoma"/>
            <family val="2"/>
          </rPr>
          <t xml:space="preserve">
23/10/25-18/11/25</t>
        </r>
      </text>
    </comment>
    <comment ref="I18" authorId="0" shapeId="0" xr:uid="{56E4A1E7-F306-43DB-A9E4-B0308705F07F}">
      <text>
        <r>
          <rPr>
            <b/>
            <sz val="9"/>
            <color indexed="81"/>
            <rFont val="Tahoma"/>
            <family val="2"/>
          </rPr>
          <t>Yoav Ram:</t>
        </r>
        <r>
          <rPr>
            <sz val="9"/>
            <color indexed="81"/>
            <rFont val="Tahoma"/>
            <family val="2"/>
          </rPr>
          <t xml:space="preserve">
23/10/25-18/11/25</t>
        </r>
      </text>
    </comment>
    <comment ref="I19" authorId="0" shapeId="0" xr:uid="{F9749965-B2A7-4675-80CC-04A0B5CAF5B8}">
      <text>
        <r>
          <rPr>
            <b/>
            <sz val="9"/>
            <color indexed="81"/>
            <rFont val="Tahoma"/>
            <family val="2"/>
          </rPr>
          <t>Yoav Ram:</t>
        </r>
        <r>
          <rPr>
            <sz val="9"/>
            <color indexed="81"/>
            <rFont val="Tahoma"/>
            <family val="2"/>
          </rPr>
          <t xml:space="preserve">
23/10/25-18/11/25</t>
        </r>
      </text>
    </comment>
    <comment ref="I20" authorId="0" shapeId="0" xr:uid="{32037D4E-9928-4D9C-967A-60C059C4BA7D}">
      <text>
        <r>
          <rPr>
            <b/>
            <sz val="9"/>
            <color indexed="81"/>
            <rFont val="Tahoma"/>
            <family val="2"/>
          </rPr>
          <t>Yoav Ram:</t>
        </r>
        <r>
          <rPr>
            <sz val="9"/>
            <color indexed="81"/>
            <rFont val="Tahoma"/>
            <family val="2"/>
          </rPr>
          <t xml:space="preserve">
23/10/25-18/11/25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Yoav Ram</author>
  </authors>
  <commentList>
    <comment ref="G2" authorId="0" shapeId="0" xr:uid="{AF0B5F6D-0D2C-46D4-BC09-423EB1559CAF}">
      <text>
        <r>
          <rPr>
            <b/>
            <sz val="9"/>
            <color indexed="81"/>
            <rFont val="Tahoma"/>
            <family val="2"/>
          </rPr>
          <t>Yoav Ram:</t>
        </r>
        <r>
          <rPr>
            <sz val="9"/>
            <color indexed="81"/>
            <rFont val="Tahoma"/>
            <family val="2"/>
          </rPr>
          <t xml:space="preserve">
נדרש לחזור למל"ס לאישור</t>
        </r>
      </text>
    </comment>
    <comment ref="G3" authorId="0" shapeId="0" xr:uid="{FF32058F-AB68-49B2-9E5B-4F6458AEB4A5}">
      <text>
        <r>
          <rPr>
            <b/>
            <sz val="9"/>
            <color indexed="81"/>
            <rFont val="Tahoma"/>
            <family val="2"/>
          </rPr>
          <t>Yoav Ram:</t>
        </r>
        <r>
          <rPr>
            <sz val="9"/>
            <color indexed="81"/>
            <rFont val="Tahoma"/>
            <family val="2"/>
          </rPr>
          <t xml:space="preserve">
יהיה צורך לחזור למל"ס לאחר ה"צ חוזרות</t>
        </r>
      </text>
    </comment>
  </commentList>
</comments>
</file>

<file path=xl/sharedStrings.xml><?xml version="1.0" encoding="utf-8"?>
<sst xmlns="http://schemas.openxmlformats.org/spreadsheetml/2006/main" count="398" uniqueCount="213">
  <si>
    <t>שם המבחן</t>
  </si>
  <si>
    <t>עממי</t>
  </si>
  <si>
    <t>גופי רוחב תחרותי</t>
  </si>
  <si>
    <t>סל הספורט</t>
  </si>
  <si>
    <t>תמריצים</t>
  </si>
  <si>
    <t>ספורט מוטורי</t>
  </si>
  <si>
    <t>מלגות</t>
  </si>
  <si>
    <t>מרכזי אימון ותחרויות לספורטאי הישג</t>
  </si>
  <si>
    <t>אישור מל"ס</t>
  </si>
  <si>
    <t>הערות ציבור</t>
  </si>
  <si>
    <t>בוצע</t>
  </si>
  <si>
    <t>אושר</t>
  </si>
  <si>
    <t>מכביה</t>
  </si>
  <si>
    <t>כן</t>
  </si>
  <si>
    <t>תשלום מקדמות</t>
  </si>
  <si>
    <t>גורם מקצועי</t>
  </si>
  <si>
    <t>נורית</t>
  </si>
  <si>
    <t>אבי</t>
  </si>
  <si>
    <t>דימה</t>
  </si>
  <si>
    <t>קיים/2024</t>
  </si>
  <si>
    <t>לא</t>
  </si>
  <si>
    <t>תמיכה ברשויות המקומיות בביצוע פעילות ספורט</t>
  </si>
  <si>
    <t>עבור פעילות ההתאחדויות של הספרוט המוטורי</t>
  </si>
  <si>
    <t>תמיכה עבור שיתוף ספורטאים ישראליים בליגות בכירות בענפי העל, ענפים אולימפיים קבוצתיים</t>
  </si>
  <si>
    <t>יניב</t>
  </si>
  <si>
    <t>סיום הגשות ערעורים</t>
  </si>
  <si>
    <t>מבחן פעילות ספורט יישובי תקומה</t>
  </si>
  <si>
    <t>הערות נוספות</t>
  </si>
  <si>
    <t>מועד פרסום ק"ק</t>
  </si>
  <si>
    <t>מרכזי ספורט</t>
  </si>
  <si>
    <t>האם נדרש תיקון</t>
  </si>
  <si>
    <t>איגודים אגודות - איגודים ומועדפים</t>
  </si>
  <si>
    <t>איגודים אגודות - אגודות וגביע אירופה</t>
  </si>
  <si>
    <t>איגודים אגודות - מאמנים</t>
  </si>
  <si>
    <t>מספר תקנה</t>
  </si>
  <si>
    <t>צפי בקשות</t>
  </si>
  <si>
    <t>נשים</t>
  </si>
  <si>
    <t>שחקן ישראלי</t>
  </si>
  <si>
    <t>אירוח משחקים ביתיים בחו"ל - חרב"ז</t>
  </si>
  <si>
    <t>23/10/25-18/11/25</t>
  </si>
  <si>
    <t>שיטור וסדרנות ליגות מקצועיות</t>
  </si>
  <si>
    <t>שיטור וסדרנות ליגות נמוכות</t>
  </si>
  <si>
    <t>עבור פעילות מאורגנת של ספורט עממי (ספורטאים שאינם רשומים באיגודים), פעילות עמותות שונות בתחום הספורט והפע"ג.</t>
  </si>
  <si>
    <t>המבחן מיועד עבור גופים הפועלים בתחום של ספורט לאנשים עם מוגבלות מכל סוג (85%) וכן לגופי רוחב הפועלים במספר ענפים</t>
  </si>
  <si>
    <t>מטרות התמיכה העיקריות/הגופים הזכאים</t>
  </si>
  <si>
    <t>עבור פעילות ארגוני הגג המוכרים לטובת ארגון משלחות, ביצוע כנסים מקצועיים, סיוע מקצועי לאיגודים ולהתאחדויות, קידום מחקר, הוצאות משפטיות</t>
  </si>
  <si>
    <t>ליגות מקצועיות: העברת עלויות השיטור לקבוצות המקצועניות באמצעות מינהלות הליגות</t>
  </si>
  <si>
    <t>ליגות נמוכות: עבור עלויות הסדרנות בליגות הנמוכות</t>
  </si>
  <si>
    <t>המבחן מחולק ל-2 רצועות - קהילתי תחרותי וסיוע לאגודות. ניקוד תואם את התמיכה לאגודות המסונפות</t>
  </si>
  <si>
    <t>עבור עלות שימוש במתקנים לספורטאי ההישג</t>
  </si>
  <si>
    <t xml:space="preserve">רצועה לתמיכה שוטפת אגודות + עבור השתתפות באליפות אירופה לקבוצות. </t>
  </si>
  <si>
    <t>כן - ל-2027</t>
  </si>
  <si>
    <t>ארגוני גג - הישגי</t>
  </si>
  <si>
    <t>חדש</t>
  </si>
  <si>
    <t>תאריך ועדה בערעורים</t>
  </si>
  <si>
    <t>צפי אישור מודל סופי</t>
  </si>
  <si>
    <t>קיים</t>
  </si>
  <si>
    <t>פורמט מודל קיים/חדש</t>
  </si>
  <si>
    <t>החלפת ביתיות לאגודות ללא מתקן</t>
  </si>
  <si>
    <t>קארין/יניב</t>
  </si>
  <si>
    <t>ורד/יניב</t>
  </si>
  <si>
    <t>רועי/יניב</t>
  </si>
  <si>
    <t>נובמבר</t>
  </si>
  <si>
    <t>ע'אזי/יניב</t>
  </si>
  <si>
    <t>תקנון</t>
  </si>
  <si>
    <t>אירועים בינלאומיים</t>
  </si>
  <si>
    <t>יוני</t>
  </si>
  <si>
    <t>כן - ל-2029</t>
  </si>
  <si>
    <t>כן - 2026</t>
  </si>
  <si>
    <t>אפריל</t>
  </si>
  <si>
    <t>כן ל-2027</t>
  </si>
  <si>
    <t>נדרש</t>
  </si>
  <si>
    <t>כן - בוצע</t>
  </si>
  <si>
    <t>29/1/26-15/3/26</t>
  </si>
  <si>
    <t>24/12/25-12/2/26</t>
  </si>
  <si>
    <t>11/2/26-17/2/26</t>
  </si>
  <si>
    <t>50% באוגוסט</t>
  </si>
  <si>
    <t>דצמבר</t>
  </si>
  <si>
    <t>שולם 25%</t>
  </si>
  <si>
    <t>אשכול</t>
  </si>
  <si>
    <t>הישגי</t>
  </si>
  <si>
    <t>הוליה</t>
  </si>
  <si>
    <t>דפנה</t>
  </si>
  <si>
    <t>מורן</t>
  </si>
  <si>
    <t>קהילתי</t>
  </si>
  <si>
    <t>תחרותי</t>
  </si>
  <si>
    <t>צורך ספורטיבי מיוחד</t>
  </si>
  <si>
    <t>מוטורי</t>
  </si>
  <si>
    <t>סה"כ</t>
  </si>
  <si>
    <t xml:space="preserve">תכנון שדרוג אצטדיוני כדורגל </t>
  </si>
  <si>
    <t xml:space="preserve">יתרת תקציב להתאמות </t>
  </si>
  <si>
    <t>21/1/26-19/3/26</t>
  </si>
  <si>
    <t>מיגוניות</t>
  </si>
  <si>
    <t xml:space="preserve">העתקת אימונים בענפי כדור קבוצתיים אולימפיים </t>
  </si>
  <si>
    <t>מס'</t>
  </si>
  <si>
    <t>מטרות התמיכה</t>
  </si>
  <si>
    <t>סטטוס מבחן</t>
  </si>
  <si>
    <t>למי מיועד</t>
  </si>
  <si>
    <t>תיק מוצר/מפרט טכני</t>
  </si>
  <si>
    <t>פעולות נדרשות לפרסום ק"ק</t>
  </si>
  <si>
    <t>תאריך פרסום ריאלי</t>
  </si>
  <si>
    <t>לשכה משפטית</t>
  </si>
  <si>
    <t>מס תקנה</t>
  </si>
  <si>
    <t>מרכז קרנות</t>
  </si>
  <si>
    <t>שדרוג מתקנים + הצטיידות
 עבור ספורטאי הישג</t>
  </si>
  <si>
    <t xml:space="preserve">נדרש עדכון  </t>
  </si>
  <si>
    <t>גופים אחרים + 3א</t>
  </si>
  <si>
    <t>לא נדרש</t>
  </si>
  <si>
    <t>מל"ס + ה"צ
הכנת מסמכים נדרשים</t>
  </si>
  <si>
    <t xml:space="preserve">תכנון שדרוג אצטדיון לאומי+ 
אצטדיוני ליגת העל </t>
  </si>
  <si>
    <t>נדרש מבחן חדש</t>
  </si>
  <si>
    <t>גופים אחרים+ 3א</t>
  </si>
  <si>
    <t>מרכז מצוינות בכדורגל</t>
  </si>
  <si>
    <t>הקמת מתחם מצוינות בכדורגל</t>
  </si>
  <si>
    <t xml:space="preserve">נדרש מבחן חדש </t>
  </si>
  <si>
    <t>גופים אחרים</t>
  </si>
  <si>
    <t>הקמה ושדרוג מתקני ספורט קהילתיים</t>
  </si>
  <si>
    <t>נדרש עדכון</t>
  </si>
  <si>
    <t>בריכות טיפוליות</t>
  </si>
  <si>
    <t>הקמת בריכות שחייה הידרותרפיות</t>
  </si>
  <si>
    <t xml:space="preserve">אולמות ספורט </t>
  </si>
  <si>
    <t xml:space="preserve">הקמת אולמות ספורט גדולים ובינוניים+ התאמת אולמות לליגת העל בכדורסל </t>
  </si>
  <si>
    <t>הקמה ושדרוג מגרשי כדורגל</t>
  </si>
  <si>
    <t>תחרותי שוטף</t>
  </si>
  <si>
    <t>שדרוג + הצטיידות שוטפת לספורט התחרותי</t>
  </si>
  <si>
    <t xml:space="preserve">שדרוג מתקני ספורט בחמשת ענפי הכדור הקבוצתיים </t>
  </si>
  <si>
    <t>הסרת חסמים גדולים</t>
  </si>
  <si>
    <t xml:space="preserve">תוספת תמיכה להרשאות גדולות </t>
  </si>
  <si>
    <t>הקמת מסלול דראג</t>
  </si>
  <si>
    <t>אובדן הכנסות "שאגת הארי"</t>
  </si>
  <si>
    <t>פורסם</t>
  </si>
  <si>
    <t>פורסם 29/3</t>
  </si>
  <si>
    <t xml:space="preserve">תשלום </t>
  </si>
  <si>
    <t>31/3/26-30/4/26</t>
  </si>
  <si>
    <t>19-43-03-31</t>
  </si>
  <si>
    <t>סיוע בהתמודדות עם השלכות מבצע "שאגת הארי" והנחיות פיקוד העורף והגופים הבין־לאומיים בעקבותיו. בין היתר, בגין אובדן הכנסות ממכירת כרטיסים ומנויים למשחקים שמוסדות הספורט היו אמורים לארח בישראל או שהתקיימו שלא בפני קהל; בגין אובדן הכנסות ממכירת כרטיסים ומנויים למשחקים שמוסדות הספורט נאלצו לארח מחוץ לישראל; וכן בהוצאות נוספות שנדרשו לצורך אירוח משחקים מחוץ לישראל</t>
  </si>
  <si>
    <t>סיוע לאגודות ספורט הפועלות בענפי הכדור הקבוצתיים שהם ענפים אולימפיים, ואשר להן משויכות קבוצות הפועלות בליגות מקצועיות, להתמודד עם הצורך בשמירה על שגרת האימונים נוכח מבצע "שאגת הארי".</t>
  </si>
  <si>
    <t>המלגות מיועדות לסגלי ההישג בענפי הספורט השונים, מבוצע באמצעות ארגוני הגג. נועד לעידוד ספורטאי הישג לעסוק באימוני ספורט בכל ימות השבוע ברמה הבין–לאומית הגבוהה ביותר; לעידוד ספורטאי הישג להשגת הישגים ספורטיביים ברמה הבין–לאומית הגבוהה ביותר; לעידוד ספורטאים צעירים המדורגים בדרגה 5 ו- 6 במדרג ספורטאי ההישג, להשתתף ולהגיע להישגים בתחרויות בין–לאומיות, כחלק מתהליך הכנתם לפעילות כספורטאי הישג בעתיד</t>
  </si>
  <si>
    <t>19-43-03-12</t>
  </si>
  <si>
    <t>19-43-03-42</t>
  </si>
  <si>
    <t>19-43-03-05</t>
  </si>
  <si>
    <t>521021 + 521022</t>
  </si>
  <si>
    <t>521023 + 521025</t>
  </si>
  <si>
    <t>19-43-03-46</t>
  </si>
  <si>
    <t>19-43-03-45</t>
  </si>
  <si>
    <t>19-43-03-24</t>
  </si>
  <si>
    <t>19-43-03-22</t>
  </si>
  <si>
    <t>19-43-03-19</t>
  </si>
  <si>
    <t>19-43-03-27</t>
  </si>
  <si>
    <t>19-43-03-07</t>
  </si>
  <si>
    <t>26/04/26-26/5/26</t>
  </si>
  <si>
    <t>תמריצים - מגזר ערבי</t>
  </si>
  <si>
    <t>תאריכי קול קורא</t>
  </si>
  <si>
    <t>7/5/26-7/6/26</t>
  </si>
  <si>
    <t>הקמה/שדרוג מגרשי כדורגל</t>
  </si>
  <si>
    <t>סכום בתקנה (מלש"ח)</t>
  </si>
  <si>
    <t>30/4/26-31/5/26</t>
  </si>
  <si>
    <t>30/4/26-7/5/26</t>
  </si>
  <si>
    <t>שולם 40%</t>
  </si>
  <si>
    <t>מודל אושר</t>
  </si>
  <si>
    <t>לא מתוכנן לפרסום</t>
  </si>
  <si>
    <t>11/5/26-11/6/26</t>
  </si>
  <si>
    <t>תקציב הופחת ל-0</t>
  </si>
  <si>
    <t>כרגע לא לפרסום</t>
  </si>
  <si>
    <t xml:space="preserve"> </t>
  </si>
  <si>
    <t>15/04/26-24/4/26</t>
  </si>
  <si>
    <t>תמיכה לרכש והצבה של מיגוניות במתקני ספורט</t>
  </si>
  <si>
    <t>ממתין לתיק מוצר</t>
  </si>
  <si>
    <t xml:space="preserve">תוספת חומש </t>
  </si>
  <si>
    <t>21/6/26-21/5/26</t>
  </si>
  <si>
    <t>מבחן ייעודי לרשויות חברה ערבית 550</t>
  </si>
  <si>
    <t>לדיון</t>
  </si>
  <si>
    <t>שנת תמיכה 2026</t>
  </si>
  <si>
    <t>שולם 60%</t>
  </si>
  <si>
    <t>אישור מודל לאחר ערעורים</t>
  </si>
  <si>
    <t xml:space="preserve">עולה לוועדה </t>
  </si>
  <si>
    <t>אישור מודל לפני ערעורים</t>
  </si>
  <si>
    <t>לאחר אישור סופי של מודל אגודות</t>
  </si>
  <si>
    <t>8-22/6/2026</t>
  </si>
  <si>
    <t>21/5/26-21/6/26</t>
  </si>
  <si>
    <t>נבדקת האפשרות להעביר את התמיכות באמצעות ארגוני הגג מדיניות</t>
  </si>
  <si>
    <t>לבקשת ע'אזי - מבקש שינוי בתבחינים למגזר מדיניות</t>
  </si>
  <si>
    <t>יניב - בדיקה לגבי המשך התמריצים מגזר / רבקה</t>
  </si>
  <si>
    <t>אגודות - 40%
גביע אירופה - לאחר אישור המודל</t>
  </si>
  <si>
    <t>כן - בטיפול מול גופי הגג עם ענבל</t>
  </si>
  <si>
    <t>2.9.26</t>
  </si>
  <si>
    <t>23.9.26</t>
  </si>
  <si>
    <t>12.8.26</t>
  </si>
  <si>
    <t>17/6/26-17/7/26</t>
  </si>
  <si>
    <t>מחכה לאישור של רבקה/תקציב בתקנה</t>
  </si>
  <si>
    <t>31/05/26-30/6/26</t>
  </si>
  <si>
    <t>19.8.26</t>
  </si>
  <si>
    <t>שולם 50%</t>
  </si>
  <si>
    <t>26.8.26</t>
  </si>
  <si>
    <t>הגשת ערעורים עד 5/8/26</t>
  </si>
  <si>
    <t>מודל תמיכה</t>
  </si>
  <si>
    <t>ממתין לאישור אוצר</t>
  </si>
  <si>
    <t xml:space="preserve">נדרש דיון ה"צ </t>
  </si>
  <si>
    <t>מבחן ייעודי ערי ליבה</t>
  </si>
  <si>
    <t>נדרש א"ק</t>
  </si>
  <si>
    <t>אישור אוצר+ מל"ס + ה"צ
הכנת מסמכים נדרשים</t>
  </si>
  <si>
    <t>תוקן - מל"ס 17/3</t>
  </si>
  <si>
    <t>חדש - מל"ס 17/3</t>
  </si>
  <si>
    <t>תוקן - מל"ס 14/4</t>
  </si>
  <si>
    <t>חדש - מל"ס 14/4</t>
  </si>
  <si>
    <t>מבחן מוכן מקצועית ב-15/10/24</t>
  </si>
  <si>
    <t>25.3.26</t>
  </si>
  <si>
    <t>15.4.26</t>
  </si>
  <si>
    <t>מועדף איילת 19/08/2026</t>
  </si>
  <si>
    <t>ערעורים עד 20/8</t>
  </si>
  <si>
    <t>התקבל ערעור אחד</t>
  </si>
  <si>
    <t>9.9.2026</t>
  </si>
  <si>
    <r>
      <rPr>
        <b/>
        <sz val="11"/>
        <color theme="1"/>
        <rFont val="David"/>
        <family val="2"/>
      </rPr>
      <t>איגודים אושר 19/8</t>
    </r>
    <r>
      <rPr>
        <sz val="11"/>
        <color theme="1"/>
        <rFont val="David"/>
        <family val="2"/>
      </rPr>
      <t>. מתוכנן לאשר מודל לא סופי לצורך מקדמות באוגוסט ואת המודל בנובמבר + לאחר ערעורים בדצמבר</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</si>
</sst>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charset val="177"/>
      <scheme val="minor"/>
    </font>
    <font>
      <b/>
      <sz val="11"/>
      <color rgb="FF000000"/>
      <name val="David"/>
      <family val="2"/>
    </font>
    <font>
      <sz val="11"/>
      <color theme="1"/>
      <name val="David"/>
      <family val="2"/>
    </font>
    <font>
      <b/>
      <sz val="11"/>
      <color theme="1"/>
      <name val="David"/>
      <family val="2"/>
    </font>
    <font>
      <sz val="11"/>
      <color rgb="FF000000"/>
      <name val="David"/>
      <family val="2"/>
    </font>
    <font>
      <sz val="11"/>
      <name val="David"/>
      <family val="2"/>
    </font>
    <font>
      <sz val="9"/>
      <color indexed="81"/>
      <name val="Tahoma"/>
      <family val="2"/>
    </font>
    <font>
      <b/>
      <sz val="9"/>
      <color indexed="81"/>
      <name val="Tahoma"/>
      <family val="2"/>
    </font>
    <font>
      <sz val="11"/>
      <color rgb="FF006100"/>
      <name val="Calibri"/>
      <family val="2"/>
      <scheme val="minor"/>
    </font>
    <font>
      <sz val="11"/>
      <color theme="1"/>
      <name val="Arial"/>
      <family val="2"/>
      <charset val="177"/>
    </font>
    <font>
      <b/>
      <sz val="11"/>
      <color rgb="FF000000"/>
      <name val="Calibri"/>
      <family val="2"/>
    </font>
    <font>
      <sz val="12"/>
      <name val="Calibri"/>
      <family val="2"/>
    </font>
    <font>
      <b/>
      <sz val="12"/>
      <name val="Calibri"/>
      <family val="2"/>
    </font>
    <font>
      <sz val="11"/>
      <color theme="1"/>
      <name val="Calibri"/>
      <family val="2"/>
    </font>
    <font>
      <sz val="12"/>
      <color rgb="FF000000"/>
      <name val="Calibri"/>
      <family val="2"/>
    </font>
    <font>
      <b/>
      <sz val="12"/>
      <color theme="1"/>
      <name val="Calibri"/>
      <family val="2"/>
    </font>
    <font>
      <sz val="12"/>
      <color theme="1"/>
      <name val="Calibri"/>
      <family val="2"/>
    </font>
    <font>
      <b/>
      <sz val="12"/>
      <color rgb="FF000000"/>
      <name val="Calibri"/>
      <family val="2"/>
    </font>
    <font>
      <b/>
      <sz val="11"/>
      <color theme="1"/>
      <name val="Calibri"/>
      <family val="2"/>
    </font>
    <font>
      <sz val="10"/>
      <color theme="1"/>
      <name val="Calibri"/>
      <family val="2"/>
      <scheme val="minor"/>
    </font>
    <font>
      <sz val="11"/>
      <color rgb="FFFF0000"/>
      <name val="David"/>
      <family val="2"/>
    </font>
  </fonts>
  <fills count="18">
    <fill>
      <patternFill patternType="none"/>
    </fill>
    <fill>
      <patternFill patternType="gray125"/>
    </fill>
    <fill>
      <patternFill patternType="solid">
        <fgColor rgb="FFDDEBF7"/>
        <bgColor indexed="64"/>
      </patternFill>
    </fill>
    <fill>
      <patternFill patternType="solid">
        <fgColor theme="0"/>
        <bgColor indexed="64"/>
      </patternFill>
    </fill>
    <fill>
      <patternFill patternType="solid">
        <fgColor theme="7" tint="0.79998168889431442"/>
        <bgColor indexed="64"/>
      </patternFill>
    </fill>
    <fill>
      <patternFill patternType="solid">
        <fgColor rgb="FFC6EFCE"/>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D9E1F2"/>
        <bgColor rgb="FF000000"/>
      </patternFill>
    </fill>
    <fill>
      <patternFill patternType="solid">
        <fgColor theme="9" tint="0.79998168889431442"/>
        <bgColor rgb="FF000000"/>
      </patternFill>
    </fill>
    <fill>
      <patternFill patternType="solid">
        <fgColor theme="5" tint="0.79998168889431442"/>
        <bgColor rgb="FF000000"/>
      </patternFill>
    </fill>
    <fill>
      <patternFill patternType="solid">
        <fgColor theme="7" tint="0.79998168889431442"/>
        <bgColor rgb="FF000000"/>
      </patternFill>
    </fill>
    <fill>
      <patternFill patternType="solid">
        <fgColor theme="9" tint="0.59999389629810485"/>
        <bgColor indexed="64"/>
      </patternFill>
    </fill>
    <fill>
      <patternFill patternType="solid">
        <fgColor rgb="FFFFFF00"/>
        <bgColor rgb="FF000000"/>
      </patternFill>
    </fill>
    <fill>
      <patternFill patternType="solid">
        <fgColor theme="9" tint="0.39997558519241921"/>
        <bgColor rgb="FF000000"/>
      </patternFill>
    </fill>
    <fill>
      <patternFill patternType="solid">
        <fgColor theme="9" tint="0.39997558519241921"/>
        <bgColor indexed="64"/>
      </patternFill>
    </fill>
    <fill>
      <patternFill patternType="solid">
        <fgColor theme="7"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8" fillId="5" borderId="0" applyNumberFormat="0" applyBorder="0" applyAlignment="0" applyProtection="0"/>
  </cellStyleXfs>
  <cellXfs count="158">
    <xf numFmtId="0" fontId="0" fillId="0" borderId="0" xfId="0"/>
    <xf numFmtId="0" fontId="2" fillId="0" borderId="0" xfId="0" applyFont="1"/>
    <xf numFmtId="0" fontId="2" fillId="3" borderId="0" xfId="0" applyFont="1" applyFill="1"/>
    <xf numFmtId="0" fontId="3" fillId="0" borderId="0" xfId="0" applyFont="1"/>
    <xf numFmtId="0" fontId="2" fillId="0" borderId="0" xfId="0" applyFont="1" applyAlignment="1">
      <alignment horizontal="center" vertical="center"/>
    </xf>
    <xf numFmtId="0" fontId="2" fillId="3"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right" vertical="center"/>
    </xf>
    <xf numFmtId="0" fontId="1" fillId="2" borderId="1" xfId="0" applyFont="1" applyFill="1" applyBorder="1" applyAlignment="1">
      <alignment horizontal="center" vertical="center" wrapText="1" readingOrder="2"/>
    </xf>
    <xf numFmtId="0" fontId="9" fillId="0" borderId="0" xfId="0" applyFont="1"/>
    <xf numFmtId="0" fontId="9" fillId="0" borderId="0" xfId="0" applyFont="1" applyAlignment="1">
      <alignment horizontal="center" vertical="center"/>
    </xf>
    <xf numFmtId="0" fontId="9" fillId="0" borderId="1" xfId="0" applyFont="1" applyBorder="1"/>
    <xf numFmtId="3" fontId="9" fillId="0" borderId="1" xfId="0" applyNumberFormat="1" applyFont="1" applyBorder="1" applyAlignment="1">
      <alignment horizontal="center" vertical="center"/>
    </xf>
    <xf numFmtId="0" fontId="9" fillId="0" borderId="1" xfId="0" applyFont="1" applyBorder="1" applyAlignment="1">
      <alignment horizontal="center"/>
    </xf>
    <xf numFmtId="3" fontId="9" fillId="0" borderId="0" xfId="0" applyNumberFormat="1" applyFont="1" applyAlignment="1">
      <alignment horizontal="center" vertical="center"/>
    </xf>
    <xf numFmtId="0" fontId="9" fillId="0" borderId="0" xfId="0" applyFont="1" applyAlignment="1">
      <alignment horizontal="center"/>
    </xf>
    <xf numFmtId="0" fontId="10" fillId="9" borderId="1" xfId="0" applyFont="1" applyFill="1" applyBorder="1" applyAlignment="1">
      <alignment horizontal="center" vertical="center" wrapText="1"/>
    </xf>
    <xf numFmtId="0" fontId="11" fillId="10" borderId="1" xfId="0" applyFont="1" applyFill="1" applyBorder="1" applyAlignment="1">
      <alignment horizontal="center" vertical="center" wrapText="1"/>
    </xf>
    <xf numFmtId="0" fontId="12" fillId="10" borderId="1" xfId="1" applyFont="1" applyFill="1" applyBorder="1" applyAlignment="1">
      <alignment horizontal="center" vertical="center"/>
    </xf>
    <xf numFmtId="0" fontId="11" fillId="10" borderId="1" xfId="1" applyFont="1" applyFill="1" applyBorder="1" applyAlignment="1">
      <alignment horizontal="center" vertical="center" wrapText="1"/>
    </xf>
    <xf numFmtId="0" fontId="11" fillId="10" borderId="1" xfId="0" applyFont="1" applyFill="1" applyBorder="1" applyAlignment="1">
      <alignment horizontal="center" vertical="center"/>
    </xf>
    <xf numFmtId="14" fontId="11" fillId="10" borderId="1" xfId="0" applyNumberFormat="1" applyFont="1" applyFill="1" applyBorder="1" applyAlignment="1">
      <alignment horizontal="center" vertical="center" wrapText="1"/>
    </xf>
    <xf numFmtId="1" fontId="11" fillId="8" borderId="1" xfId="0" applyNumberFormat="1" applyFont="1" applyFill="1" applyBorder="1" applyAlignment="1">
      <alignment horizontal="center" vertical="center" wrapText="1"/>
    </xf>
    <xf numFmtId="0" fontId="12" fillId="8" borderId="1" xfId="0" applyFont="1" applyFill="1" applyBorder="1" applyAlignment="1">
      <alignment horizontal="center" vertical="center"/>
    </xf>
    <xf numFmtId="0" fontId="13" fillId="8" borderId="1" xfId="0" applyFont="1" applyFill="1" applyBorder="1" applyAlignment="1">
      <alignment horizontal="center" vertical="center"/>
    </xf>
    <xf numFmtId="0" fontId="12" fillId="10" borderId="1" xfId="1" applyFont="1" applyFill="1" applyBorder="1" applyAlignment="1">
      <alignment horizontal="center" vertical="center" wrapText="1"/>
    </xf>
    <xf numFmtId="0" fontId="11" fillId="10" borderId="1" xfId="1" applyFont="1" applyFill="1" applyBorder="1" applyAlignment="1">
      <alignment horizontal="center" vertical="center"/>
    </xf>
    <xf numFmtId="0" fontId="12" fillId="10" borderId="1" xfId="0" applyFont="1" applyFill="1" applyBorder="1" applyAlignment="1">
      <alignment horizontal="center" vertical="center"/>
    </xf>
    <xf numFmtId="1" fontId="11" fillId="10" borderId="1" xfId="0" applyNumberFormat="1"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2" fillId="11" borderId="1" xfId="1" applyFont="1" applyFill="1" applyBorder="1" applyAlignment="1">
      <alignment horizontal="center" vertical="center" wrapText="1"/>
    </xf>
    <xf numFmtId="0" fontId="11" fillId="11" borderId="1" xfId="1" applyFont="1" applyFill="1" applyBorder="1" applyAlignment="1">
      <alignment horizontal="center" vertical="center" wrapText="1"/>
    </xf>
    <xf numFmtId="0" fontId="14" fillId="6" borderId="1" xfId="0" applyFont="1" applyFill="1" applyBorder="1" applyAlignment="1">
      <alignment horizontal="center" vertical="center"/>
    </xf>
    <xf numFmtId="0" fontId="14" fillId="11" borderId="1" xfId="0" applyFont="1" applyFill="1" applyBorder="1" applyAlignment="1">
      <alignment horizontal="center" vertical="center"/>
    </xf>
    <xf numFmtId="14" fontId="11" fillId="11" borderId="1" xfId="0" applyNumberFormat="1" applyFont="1" applyFill="1" applyBorder="1" applyAlignment="1">
      <alignment horizontal="center" vertical="center" wrapText="1"/>
    </xf>
    <xf numFmtId="0" fontId="15" fillId="6" borderId="1" xfId="0" applyFont="1" applyFill="1" applyBorder="1" applyAlignment="1">
      <alignment horizontal="center" vertical="center"/>
    </xf>
    <xf numFmtId="0" fontId="13" fillId="6" borderId="1" xfId="0" applyFont="1" applyFill="1" applyBorder="1" applyAlignment="1">
      <alignment horizontal="center" vertical="center"/>
    </xf>
    <xf numFmtId="0" fontId="15"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16" fillId="6" borderId="1" xfId="0" applyFont="1" applyFill="1" applyBorder="1" applyAlignment="1">
      <alignment horizontal="center" vertical="center"/>
    </xf>
    <xf numFmtId="14" fontId="16" fillId="6" borderId="1" xfId="0" applyNumberFormat="1" applyFont="1" applyFill="1" applyBorder="1" applyAlignment="1">
      <alignment horizontal="center" vertical="center"/>
    </xf>
    <xf numFmtId="0" fontId="14" fillId="12" borderId="1" xfId="0" applyFont="1" applyFill="1" applyBorder="1" applyAlignment="1">
      <alignment horizontal="center" vertical="center" wrapText="1"/>
    </xf>
    <xf numFmtId="0" fontId="12" fillId="12" borderId="1" xfId="1" applyFont="1" applyFill="1" applyBorder="1" applyAlignment="1">
      <alignment horizontal="center" vertical="center" wrapText="1"/>
    </xf>
    <xf numFmtId="0" fontId="11" fillId="12" borderId="1" xfId="1" applyFont="1" applyFill="1" applyBorder="1" applyAlignment="1">
      <alignment horizontal="center" vertical="center" wrapText="1"/>
    </xf>
    <xf numFmtId="0" fontId="14" fillId="12" borderId="1" xfId="0" applyFont="1" applyFill="1" applyBorder="1" applyAlignment="1">
      <alignment horizontal="center" vertical="center"/>
    </xf>
    <xf numFmtId="0" fontId="17" fillId="12" borderId="1" xfId="0" applyFont="1" applyFill="1" applyBorder="1" applyAlignment="1">
      <alignment horizontal="center" vertical="center"/>
    </xf>
    <xf numFmtId="0" fontId="11" fillId="4" borderId="1" xfId="0" applyFont="1" applyFill="1" applyBorder="1" applyAlignment="1">
      <alignment horizontal="center" vertical="center" wrapText="1"/>
    </xf>
    <xf numFmtId="14" fontId="11" fillId="12" borderId="1" xfId="0" applyNumberFormat="1" applyFont="1" applyFill="1" applyBorder="1" applyAlignment="1">
      <alignment horizontal="center" vertical="center" wrapText="1"/>
    </xf>
    <xf numFmtId="0" fontId="15" fillId="4" borderId="1" xfId="0" applyFont="1" applyFill="1" applyBorder="1" applyAlignment="1">
      <alignment horizontal="center" vertical="center"/>
    </xf>
    <xf numFmtId="0" fontId="13" fillId="4" borderId="1" xfId="0" applyFont="1" applyFill="1" applyBorder="1" applyAlignment="1">
      <alignment horizontal="center" vertical="center"/>
    </xf>
    <xf numFmtId="0" fontId="14" fillId="4" borderId="1" xfId="0" applyFont="1" applyFill="1" applyBorder="1" applyAlignment="1">
      <alignment horizontal="center" vertical="center" wrapText="1"/>
    </xf>
    <xf numFmtId="0" fontId="12" fillId="4" borderId="1" xfId="1" applyFont="1" applyFill="1" applyBorder="1" applyAlignment="1">
      <alignment horizontal="center" vertical="center" wrapText="1"/>
    </xf>
    <xf numFmtId="0" fontId="11" fillId="4" borderId="1" xfId="1" applyFont="1" applyFill="1" applyBorder="1" applyAlignment="1">
      <alignment horizontal="center" vertical="center" wrapText="1"/>
    </xf>
    <xf numFmtId="0" fontId="14" fillId="4" borderId="1" xfId="0" applyFont="1" applyFill="1" applyBorder="1" applyAlignment="1">
      <alignment horizontal="center" vertical="center"/>
    </xf>
    <xf numFmtId="0" fontId="17" fillId="4" borderId="1" xfId="0" applyFont="1" applyFill="1" applyBorder="1" applyAlignment="1">
      <alignment horizontal="center" vertical="center"/>
    </xf>
    <xf numFmtId="14" fontId="11" fillId="4" borderId="1" xfId="0" applyNumberFormat="1" applyFont="1" applyFill="1" applyBorder="1" applyAlignment="1">
      <alignment horizontal="center" vertical="center" wrapText="1"/>
    </xf>
    <xf numFmtId="1" fontId="11" fillId="4" borderId="1" xfId="0" applyNumberFormat="1" applyFont="1" applyFill="1" applyBorder="1" applyAlignment="1">
      <alignment horizontal="center" vertical="center" wrapText="1"/>
    </xf>
    <xf numFmtId="0" fontId="17" fillId="4" borderId="1" xfId="0" applyFont="1" applyFill="1" applyBorder="1" applyAlignment="1">
      <alignment horizontal="center" vertical="center" wrapText="1"/>
    </xf>
    <xf numFmtId="0" fontId="11" fillId="12" borderId="1" xfId="0" applyFont="1" applyFill="1" applyBorder="1" applyAlignment="1">
      <alignment horizontal="center" vertical="center"/>
    </xf>
    <xf numFmtId="0" fontId="12" fillId="4" borderId="1" xfId="1" applyFont="1" applyFill="1" applyBorder="1" applyAlignment="1">
      <alignment horizontal="center" vertical="center"/>
    </xf>
    <xf numFmtId="0" fontId="16" fillId="4" borderId="1" xfId="0" applyFont="1" applyFill="1" applyBorder="1" applyAlignment="1">
      <alignment horizontal="center" vertical="center"/>
    </xf>
    <xf numFmtId="14" fontId="16" fillId="4" borderId="1" xfId="0" applyNumberFormat="1" applyFont="1" applyFill="1" applyBorder="1" applyAlignment="1">
      <alignment horizontal="center" vertical="center"/>
    </xf>
    <xf numFmtId="0" fontId="13" fillId="13" borderId="1" xfId="0" applyFont="1" applyFill="1" applyBorder="1" applyAlignment="1">
      <alignment horizontal="center" vertical="center"/>
    </xf>
    <xf numFmtId="1" fontId="13" fillId="13" borderId="1" xfId="0" applyNumberFormat="1" applyFont="1" applyFill="1" applyBorder="1" applyAlignment="1">
      <alignment horizontal="center" vertical="center"/>
    </xf>
    <xf numFmtId="0" fontId="18" fillId="13" borderId="1" xfId="0" applyFont="1" applyFill="1" applyBorder="1" applyAlignment="1">
      <alignment horizontal="center" vertical="center"/>
    </xf>
    <xf numFmtId="0" fontId="11" fillId="7" borderId="1" xfId="0" applyFont="1" applyFill="1" applyBorder="1" applyAlignment="1">
      <alignment horizontal="center" vertical="center" wrapText="1"/>
    </xf>
    <xf numFmtId="0" fontId="11" fillId="14" borderId="1" xfId="0" applyFont="1" applyFill="1" applyBorder="1" applyAlignment="1">
      <alignment horizontal="center" vertical="center" wrapText="1"/>
    </xf>
    <xf numFmtId="0" fontId="11" fillId="15" borderId="1" xfId="0" applyFont="1" applyFill="1" applyBorder="1" applyAlignment="1">
      <alignment horizontal="center" vertical="center" wrapText="1"/>
    </xf>
    <xf numFmtId="0" fontId="2" fillId="0" borderId="0" xfId="0" applyFont="1" applyAlignment="1">
      <alignment horizontal="center" vertical="center" wrapText="1"/>
    </xf>
    <xf numFmtId="0" fontId="19" fillId="0" borderId="1" xfId="0" applyFont="1" applyBorder="1" applyAlignment="1">
      <alignment horizontal="center" vertical="center" wrapText="1"/>
    </xf>
    <xf numFmtId="0" fontId="1" fillId="0" borderId="1" xfId="0" applyFont="1" applyBorder="1" applyAlignment="1">
      <alignment horizontal="right" vertical="center" wrapText="1" readingOrder="2"/>
    </xf>
    <xf numFmtId="49" fontId="2" fillId="0" borderId="1" xfId="0" applyNumberFormat="1" applyFont="1" applyBorder="1" applyAlignment="1">
      <alignment horizontal="right" vertical="center" wrapText="1"/>
    </xf>
    <xf numFmtId="0" fontId="4" fillId="0" borderId="1" xfId="0" applyFont="1" applyBorder="1" applyAlignment="1">
      <alignment horizontal="right" vertical="center" wrapText="1" readingOrder="2"/>
    </xf>
    <xf numFmtId="0" fontId="4" fillId="0" borderId="1" xfId="0" applyFont="1" applyBorder="1" applyAlignment="1">
      <alignment horizontal="center" vertical="center" wrapText="1" readingOrder="2"/>
    </xf>
    <xf numFmtId="0" fontId="2" fillId="0" borderId="1" xfId="0" applyFont="1" applyBorder="1" applyAlignment="1">
      <alignment horizontal="center" vertical="center"/>
    </xf>
    <xf numFmtId="9" fontId="2" fillId="0" borderId="1" xfId="0" applyNumberFormat="1" applyFont="1" applyBorder="1" applyAlignment="1">
      <alignment horizontal="center" vertical="center"/>
    </xf>
    <xf numFmtId="14" fontId="2" fillId="0" borderId="1" xfId="0" applyNumberFormat="1" applyFont="1" applyBorder="1" applyAlignment="1">
      <alignment horizontal="center" vertical="center"/>
    </xf>
    <xf numFmtId="0" fontId="3" fillId="0" borderId="1" xfId="0" applyFont="1" applyBorder="1" applyAlignment="1">
      <alignment horizontal="right" vertical="center" wrapText="1" readingOrder="2"/>
    </xf>
    <xf numFmtId="0" fontId="2" fillId="0" borderId="1" xfId="0" applyFont="1" applyBorder="1" applyAlignment="1">
      <alignment horizontal="right" vertical="center" wrapText="1" readingOrder="2"/>
    </xf>
    <xf numFmtId="0" fontId="2" fillId="0" borderId="1" xfId="0" applyFont="1" applyBorder="1" applyAlignment="1">
      <alignment horizontal="center" vertical="center" wrapText="1" readingOrder="2"/>
    </xf>
    <xf numFmtId="0" fontId="2" fillId="0" borderId="1" xfId="0" applyFont="1" applyBorder="1" applyAlignment="1">
      <alignment horizontal="center" vertical="center" wrapText="1"/>
    </xf>
    <xf numFmtId="0" fontId="19" fillId="0" borderId="1" xfId="0" applyFont="1" applyBorder="1" applyAlignment="1">
      <alignment horizontal="center" vertical="center"/>
    </xf>
    <xf numFmtId="9"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Font="1" applyBorder="1" applyAlignment="1">
      <alignment horizontal="right" vertical="center" wrapText="1"/>
    </xf>
    <xf numFmtId="0" fontId="3" fillId="0" borderId="1" xfId="0" applyFont="1" applyBorder="1" applyAlignment="1">
      <alignment horizontal="right" vertical="center" wrapText="1"/>
    </xf>
    <xf numFmtId="0" fontId="2" fillId="0" borderId="1" xfId="0" applyFont="1" applyBorder="1" applyAlignment="1">
      <alignment horizontal="right" vertical="center" wrapText="1" readingOrder="1"/>
    </xf>
    <xf numFmtId="0" fontId="2" fillId="0" borderId="1" xfId="0" applyFont="1" applyBorder="1" applyAlignment="1">
      <alignment horizontal="center"/>
    </xf>
    <xf numFmtId="0" fontId="5" fillId="0" borderId="1" xfId="0" applyFont="1" applyBorder="1" applyAlignment="1">
      <alignment horizontal="right" vertical="center" wrapText="1" readingOrder="2"/>
    </xf>
    <xf numFmtId="0" fontId="3" fillId="0" borderId="1" xfId="0" applyFont="1" applyBorder="1" applyAlignment="1">
      <alignment horizontal="right" vertical="center"/>
    </xf>
    <xf numFmtId="49" fontId="5" fillId="0" borderId="1" xfId="0" applyNumberFormat="1" applyFont="1" applyBorder="1" applyAlignment="1">
      <alignment horizontal="right" vertical="center" wrapText="1"/>
    </xf>
    <xf numFmtId="0" fontId="2" fillId="0" borderId="1" xfId="0" applyFont="1" applyBorder="1" applyAlignment="1">
      <alignment horizontal="right" vertical="center"/>
    </xf>
    <xf numFmtId="0" fontId="2" fillId="3" borderId="1" xfId="0" applyFont="1" applyFill="1" applyBorder="1" applyAlignment="1">
      <alignment horizontal="center" vertical="center" wrapText="1"/>
    </xf>
    <xf numFmtId="0" fontId="3" fillId="3" borderId="1" xfId="0" applyFont="1" applyFill="1" applyBorder="1" applyAlignment="1">
      <alignment horizontal="right" vertical="center" wrapText="1" readingOrder="2"/>
    </xf>
    <xf numFmtId="0" fontId="2" fillId="3" borderId="1" xfId="0" applyFont="1" applyFill="1" applyBorder="1" applyAlignment="1">
      <alignment horizontal="right" vertical="center" wrapText="1" readingOrder="2"/>
    </xf>
    <xf numFmtId="0" fontId="2" fillId="3" borderId="1" xfId="0" applyFont="1" applyFill="1" applyBorder="1" applyAlignment="1">
      <alignment horizontal="center" vertical="center" wrapText="1" readingOrder="2"/>
    </xf>
    <xf numFmtId="0" fontId="5"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xf numFmtId="0" fontId="2" fillId="3" borderId="1" xfId="0" applyFont="1" applyFill="1" applyBorder="1" applyAlignment="1">
      <alignment horizontal="right" vertical="center" wrapText="1"/>
    </xf>
    <xf numFmtId="0" fontId="2" fillId="3" borderId="1" xfId="0" applyFont="1" applyFill="1" applyBorder="1" applyAlignment="1">
      <alignment horizontal="right" vertical="center"/>
    </xf>
    <xf numFmtId="14" fontId="2" fillId="3" borderId="1" xfId="0" applyNumberFormat="1" applyFont="1" applyFill="1" applyBorder="1" applyAlignment="1">
      <alignment horizontal="center" vertical="center"/>
    </xf>
    <xf numFmtId="0" fontId="9" fillId="0" borderId="3" xfId="0" applyFont="1" applyBorder="1"/>
    <xf numFmtId="0" fontId="9" fillId="0" borderId="1" xfId="0" applyFont="1" applyBorder="1" applyAlignment="1">
      <alignment horizontal="center" vertical="center"/>
    </xf>
    <xf numFmtId="0" fontId="18" fillId="3" borderId="1" xfId="0" applyFont="1" applyFill="1" applyBorder="1" applyAlignment="1">
      <alignment horizontal="center" vertical="center"/>
    </xf>
    <xf numFmtId="0" fontId="3" fillId="3" borderId="1" xfId="0" applyFont="1" applyFill="1" applyBorder="1" applyAlignment="1">
      <alignment vertical="center" wrapText="1"/>
    </xf>
    <xf numFmtId="0" fontId="2" fillId="3" borderId="0" xfId="0" applyFont="1" applyFill="1" applyAlignment="1">
      <alignment wrapText="1"/>
    </xf>
    <xf numFmtId="0" fontId="18" fillId="7" borderId="1" xfId="0" applyFont="1" applyFill="1" applyBorder="1" applyAlignment="1">
      <alignment horizontal="center" vertical="center"/>
    </xf>
    <xf numFmtId="0" fontId="18" fillId="4" borderId="1" xfId="0" applyFont="1" applyFill="1" applyBorder="1" applyAlignment="1">
      <alignment horizontal="center" vertical="center"/>
    </xf>
    <xf numFmtId="0" fontId="18" fillId="4"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19" fillId="0" borderId="1" xfId="0" applyFont="1" applyBorder="1" applyAlignment="1">
      <alignment horizontal="right" vertical="center"/>
    </xf>
    <xf numFmtId="1" fontId="11" fillId="15" borderId="1" xfId="0" applyNumberFormat="1" applyFont="1" applyFill="1" applyBorder="1" applyAlignment="1">
      <alignment horizontal="center" vertical="center" wrapText="1"/>
    </xf>
    <xf numFmtId="1" fontId="11" fillId="16" borderId="1" xfId="0" applyNumberFormat="1" applyFont="1" applyFill="1" applyBorder="1" applyAlignment="1">
      <alignment horizontal="center" vertical="center" wrapText="1"/>
    </xf>
    <xf numFmtId="0" fontId="5" fillId="0" borderId="1" xfId="0" applyFont="1" applyBorder="1" applyAlignment="1">
      <alignment horizontal="center" vertical="center"/>
    </xf>
    <xf numFmtId="14" fontId="2" fillId="0" borderId="1" xfId="0" applyNumberFormat="1" applyFont="1" applyBorder="1" applyAlignment="1">
      <alignment horizontal="center" vertical="center" wrapText="1" readingOrder="2"/>
    </xf>
    <xf numFmtId="0" fontId="2" fillId="13" borderId="1" xfId="0" applyFont="1" applyFill="1" applyBorder="1" applyAlignment="1">
      <alignment horizontal="center" vertical="center" wrapText="1"/>
    </xf>
    <xf numFmtId="0" fontId="2" fillId="13" borderId="1" xfId="0" applyFont="1" applyFill="1" applyBorder="1" applyAlignment="1">
      <alignment horizontal="center" vertical="center"/>
    </xf>
    <xf numFmtId="14" fontId="5" fillId="0" borderId="1" xfId="0" applyNumberFormat="1" applyFont="1" applyBorder="1" applyAlignment="1">
      <alignment horizontal="center" vertical="center"/>
    </xf>
    <xf numFmtId="0" fontId="20" fillId="0" borderId="1" xfId="0" applyFont="1" applyBorder="1" applyAlignment="1">
      <alignment horizontal="center" vertical="center" wrapText="1"/>
    </xf>
    <xf numFmtId="0" fontId="2" fillId="3" borderId="1" xfId="0" applyFont="1" applyFill="1" applyBorder="1" applyAlignment="1">
      <alignment horizontal="center"/>
    </xf>
    <xf numFmtId="0" fontId="4" fillId="3" borderId="1" xfId="0" applyFont="1" applyFill="1" applyBorder="1" applyAlignment="1">
      <alignment horizontal="center" vertical="center" wrapText="1" readingOrder="2"/>
    </xf>
    <xf numFmtId="14" fontId="4" fillId="3" borderId="1" xfId="0" applyNumberFormat="1" applyFont="1" applyFill="1" applyBorder="1" applyAlignment="1">
      <alignment horizontal="center" vertical="center" wrapText="1" readingOrder="2"/>
    </xf>
    <xf numFmtId="0" fontId="3" fillId="13" borderId="1" xfId="0" applyFont="1" applyFill="1" applyBorder="1" applyAlignment="1">
      <alignment horizontal="right" vertical="center"/>
    </xf>
    <xf numFmtId="0" fontId="2" fillId="13" borderId="1" xfId="0" applyFont="1" applyFill="1" applyBorder="1" applyAlignment="1">
      <alignment horizontal="right" vertical="center"/>
    </xf>
    <xf numFmtId="49" fontId="2" fillId="13" borderId="1" xfId="0" applyNumberFormat="1" applyFont="1" applyFill="1" applyBorder="1" applyAlignment="1">
      <alignment horizontal="right" vertical="center" wrapText="1"/>
    </xf>
    <xf numFmtId="9" fontId="2" fillId="13" borderId="1" xfId="0" applyNumberFormat="1" applyFont="1" applyFill="1" applyBorder="1" applyAlignment="1">
      <alignment horizontal="center" vertical="center"/>
    </xf>
    <xf numFmtId="14" fontId="2" fillId="13" borderId="1" xfId="0" applyNumberFormat="1" applyFont="1" applyFill="1" applyBorder="1" applyAlignment="1">
      <alignment horizontal="center" vertical="center"/>
    </xf>
    <xf numFmtId="0" fontId="2" fillId="13" borderId="1" xfId="0" applyFont="1" applyFill="1" applyBorder="1" applyAlignment="1">
      <alignment horizontal="right" vertical="center" wrapText="1"/>
    </xf>
    <xf numFmtId="0" fontId="3" fillId="13" borderId="1" xfId="0" applyFont="1" applyFill="1" applyBorder="1" applyAlignment="1">
      <alignment horizontal="right" vertical="center" wrapText="1" readingOrder="2"/>
    </xf>
    <xf numFmtId="0" fontId="2" fillId="13" borderId="1" xfId="0" applyFont="1" applyFill="1" applyBorder="1" applyAlignment="1">
      <alignment horizontal="right" vertical="center" wrapText="1" readingOrder="2"/>
    </xf>
    <xf numFmtId="14" fontId="2" fillId="13" borderId="1" xfId="0" applyNumberFormat="1" applyFont="1" applyFill="1" applyBorder="1" applyAlignment="1">
      <alignment horizontal="center" vertical="center" wrapText="1" readingOrder="2"/>
    </xf>
    <xf numFmtId="0" fontId="2" fillId="13" borderId="1" xfId="0" applyFont="1" applyFill="1" applyBorder="1" applyAlignment="1">
      <alignment horizontal="center" vertical="center" wrapText="1" readingOrder="2"/>
    </xf>
    <xf numFmtId="0" fontId="4" fillId="13" borderId="1" xfId="0" applyFont="1" applyFill="1" applyBorder="1" applyAlignment="1">
      <alignment horizontal="center" vertical="center" wrapText="1" readingOrder="2"/>
    </xf>
    <xf numFmtId="16" fontId="2" fillId="13" borderId="1" xfId="0" applyNumberFormat="1" applyFont="1" applyFill="1" applyBorder="1" applyAlignment="1">
      <alignment horizontal="center" vertical="center" wrapText="1"/>
    </xf>
    <xf numFmtId="14" fontId="5" fillId="3" borderId="1" xfId="0" applyNumberFormat="1" applyFont="1" applyFill="1" applyBorder="1" applyAlignment="1">
      <alignment horizontal="center" vertical="center"/>
    </xf>
    <xf numFmtId="14" fontId="2" fillId="13" borderId="1" xfId="0" applyNumberFormat="1" applyFont="1" applyFill="1" applyBorder="1" applyAlignment="1">
      <alignment horizontal="center" vertical="center" wrapText="1"/>
    </xf>
    <xf numFmtId="0" fontId="1" fillId="13" borderId="1" xfId="0" applyFont="1" applyFill="1" applyBorder="1" applyAlignment="1">
      <alignment horizontal="right" vertical="center" wrapText="1" readingOrder="2"/>
    </xf>
    <xf numFmtId="0" fontId="4" fillId="13" borderId="1" xfId="0" applyFont="1" applyFill="1" applyBorder="1" applyAlignment="1">
      <alignment horizontal="right" vertical="center" wrapText="1" readingOrder="2"/>
    </xf>
    <xf numFmtId="14" fontId="5" fillId="0" borderId="1" xfId="0" applyNumberFormat="1" applyFont="1" applyBorder="1" applyAlignment="1">
      <alignment horizontal="center" vertical="center" wrapText="1"/>
    </xf>
    <xf numFmtId="14" fontId="5" fillId="3" borderId="1" xfId="0" applyNumberFormat="1" applyFont="1" applyFill="1" applyBorder="1" applyAlignment="1">
      <alignment horizontal="center" vertical="center" wrapText="1"/>
    </xf>
    <xf numFmtId="14" fontId="5" fillId="17" borderId="1" xfId="0" applyNumberFormat="1" applyFont="1" applyFill="1" applyBorder="1" applyAlignment="1">
      <alignment horizontal="center" vertical="center"/>
    </xf>
    <xf numFmtId="0" fontId="5" fillId="0" borderId="1" xfId="0" applyFont="1" applyBorder="1" applyAlignment="1">
      <alignment horizontal="center" vertical="center" wrapText="1"/>
    </xf>
    <xf numFmtId="14" fontId="5" fillId="13" borderId="1" xfId="0" applyNumberFormat="1" applyFont="1" applyFill="1" applyBorder="1" applyAlignment="1">
      <alignment horizontal="center" vertical="center"/>
    </xf>
    <xf numFmtId="0" fontId="5" fillId="13" borderId="1" xfId="0" applyFont="1" applyFill="1" applyBorder="1" applyAlignment="1">
      <alignment horizontal="center" vertical="center" wrapText="1"/>
    </xf>
    <xf numFmtId="14" fontId="5" fillId="13" borderId="1" xfId="0" applyNumberFormat="1" applyFont="1" applyFill="1" applyBorder="1" applyAlignment="1">
      <alignment horizontal="center" vertical="center" wrapText="1"/>
    </xf>
    <xf numFmtId="0" fontId="5" fillId="13" borderId="1" xfId="0" applyFont="1" applyFill="1" applyBorder="1" applyAlignment="1">
      <alignment horizontal="center" vertical="center"/>
    </xf>
    <xf numFmtId="14" fontId="11" fillId="14" borderId="1" xfId="0" applyNumberFormat="1" applyFont="1" applyFill="1" applyBorder="1" applyAlignment="1">
      <alignment horizontal="center" vertical="center" wrapText="1"/>
    </xf>
    <xf numFmtId="14" fontId="15" fillId="6" borderId="1" xfId="0" applyNumberFormat="1" applyFont="1" applyFill="1" applyBorder="1" applyAlignment="1">
      <alignment horizontal="center" vertical="center"/>
    </xf>
    <xf numFmtId="3" fontId="15" fillId="13" borderId="1" xfId="0" applyNumberFormat="1" applyFont="1" applyFill="1" applyBorder="1" applyAlignment="1">
      <alignment horizontal="center" vertical="center"/>
    </xf>
    <xf numFmtId="14" fontId="15" fillId="4" borderId="1" xfId="0" applyNumberFormat="1" applyFont="1" applyFill="1" applyBorder="1" applyAlignment="1">
      <alignment horizontal="center" vertical="center"/>
    </xf>
    <xf numFmtId="0" fontId="10" fillId="9" borderId="2" xfId="0" applyFont="1" applyFill="1" applyBorder="1" applyAlignment="1">
      <alignment horizontal="center" vertical="center" wrapText="1"/>
    </xf>
    <xf numFmtId="0" fontId="9" fillId="8" borderId="1" xfId="0" applyFont="1" applyFill="1" applyBorder="1"/>
    <xf numFmtId="0" fontId="13" fillId="6" borderId="2" xfId="0" applyFont="1" applyFill="1" applyBorder="1" applyAlignment="1">
      <alignment horizontal="center" vertical="center"/>
    </xf>
    <xf numFmtId="9" fontId="5" fillId="13" borderId="1" xfId="0" applyNumberFormat="1" applyFont="1" applyFill="1" applyBorder="1" applyAlignment="1">
      <alignment horizontal="center" vertical="center" wrapText="1"/>
    </xf>
    <xf numFmtId="0" fontId="1" fillId="13" borderId="1"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FDA7-F217-40FB-B894-4CE4ACB018FD}">
  <sheetPr>
    <pageSetUpPr fitToPage="1"/>
  </sheetPr>
  <dimension ref="A1:AQ39"/>
  <sheetViews>
    <sheetView rightToLeft="1" zoomScaleNormal="100" workbookViewId="0">
      <pane xSplit="3" ySplit="2" topLeftCell="D3" activePane="bottomRight" state="frozen"/>
      <selection activeCell="A2" sqref="A2"/>
      <selection pane="topRight" activeCell="D2" sqref="D2"/>
      <selection pane="bottomLeft" activeCell="A3" sqref="A3"/>
      <selection pane="bottomRight" activeCell="I2" sqref="I2"/>
    </sheetView>
  </sheetViews>
  <sheetFormatPr defaultColWidth="9" defaultRowHeight="15" x14ac:dyDescent="0.25"/>
  <cols>
    <col min="1" max="1" width="10.28515625" style="4" hidden="1" customWidth="1"/>
    <col min="2" max="2" width="8.5703125" style="68" hidden="1" customWidth="1"/>
    <col min="3" max="3" width="27.85546875" style="3" customWidth="1"/>
    <col min="4" max="4" width="10.140625" style="7" customWidth="1"/>
    <col min="5" max="5" width="36.28515625" style="7" hidden="1" customWidth="1"/>
    <col min="6" max="6" width="10.140625" style="7" customWidth="1"/>
    <col min="7" max="7" width="9.85546875" style="6" customWidth="1"/>
    <col min="8" max="8" width="9.28515625" style="6" customWidth="1"/>
    <col min="9" max="9" width="15.28515625" style="6" customWidth="1"/>
    <col min="10" max="10" width="8.28515625" style="4" bestFit="1" customWidth="1"/>
    <col min="11" max="11" width="19.28515625" style="4" customWidth="1"/>
    <col min="12" max="12" width="11.85546875" style="4" hidden="1" customWidth="1"/>
    <col min="13" max="13" width="11.28515625" style="5" customWidth="1"/>
    <col min="14" max="14" width="10.28515625" style="4" customWidth="1"/>
    <col min="15" max="15" width="10.5703125" style="4" hidden="1" customWidth="1"/>
    <col min="16" max="16" width="10" style="4" hidden="1" customWidth="1"/>
    <col min="17" max="17" width="9.5703125" style="4" hidden="1" customWidth="1"/>
    <col min="18" max="18" width="28.140625" style="4" customWidth="1"/>
    <col min="19" max="16384" width="9" style="1"/>
  </cols>
  <sheetData>
    <row r="1" spans="1:43" x14ac:dyDescent="0.25">
      <c r="A1" s="156" t="s">
        <v>172</v>
      </c>
      <c r="B1" s="156"/>
      <c r="C1" s="156"/>
      <c r="D1" s="156"/>
      <c r="E1" s="156"/>
      <c r="F1" s="156"/>
      <c r="G1" s="156"/>
      <c r="H1" s="156"/>
      <c r="I1" s="156"/>
      <c r="J1" s="156"/>
      <c r="K1" s="156"/>
      <c r="L1" s="156"/>
      <c r="M1" s="156"/>
      <c r="N1" s="156"/>
      <c r="O1" s="156"/>
      <c r="P1" s="156"/>
      <c r="Q1" s="156"/>
      <c r="R1" s="157"/>
    </row>
    <row r="2" spans="1:43" ht="45" x14ac:dyDescent="0.25">
      <c r="A2" s="8" t="s">
        <v>34</v>
      </c>
      <c r="B2" s="8" t="s">
        <v>103</v>
      </c>
      <c r="C2" s="8" t="s">
        <v>0</v>
      </c>
      <c r="D2" s="8" t="s">
        <v>15</v>
      </c>
      <c r="E2" s="8" t="s">
        <v>44</v>
      </c>
      <c r="F2" s="8" t="s">
        <v>30</v>
      </c>
      <c r="G2" s="8" t="s">
        <v>8</v>
      </c>
      <c r="H2" s="8" t="s">
        <v>9</v>
      </c>
      <c r="I2" s="8" t="s">
        <v>28</v>
      </c>
      <c r="J2" s="8" t="s">
        <v>35</v>
      </c>
      <c r="K2" s="8" t="s">
        <v>14</v>
      </c>
      <c r="L2" s="8" t="s">
        <v>57</v>
      </c>
      <c r="M2" s="8" t="s">
        <v>176</v>
      </c>
      <c r="N2" s="8" t="s">
        <v>174</v>
      </c>
      <c r="O2" s="8" t="s">
        <v>25</v>
      </c>
      <c r="P2" s="8" t="s">
        <v>54</v>
      </c>
      <c r="Q2" s="8" t="s">
        <v>55</v>
      </c>
      <c r="R2" s="8" t="s">
        <v>27</v>
      </c>
    </row>
    <row r="3" spans="1:43" s="2" customFormat="1" ht="23.25" customHeight="1" x14ac:dyDescent="0.25">
      <c r="A3" s="74" t="s">
        <v>138</v>
      </c>
      <c r="B3" s="69">
        <v>521025</v>
      </c>
      <c r="C3" s="137" t="s">
        <v>1</v>
      </c>
      <c r="D3" s="138" t="s">
        <v>16</v>
      </c>
      <c r="E3" s="125" t="s">
        <v>42</v>
      </c>
      <c r="F3" s="138" t="s">
        <v>51</v>
      </c>
      <c r="G3" s="133"/>
      <c r="H3" s="133"/>
      <c r="I3" s="133" t="s">
        <v>75</v>
      </c>
      <c r="J3" s="117">
        <v>20</v>
      </c>
      <c r="K3" s="126" t="s">
        <v>192</v>
      </c>
      <c r="L3" s="117" t="s">
        <v>19</v>
      </c>
      <c r="M3" s="127" t="s">
        <v>11</v>
      </c>
      <c r="N3" s="136" t="s">
        <v>11</v>
      </c>
      <c r="O3" s="136"/>
      <c r="P3" s="127"/>
      <c r="Q3" s="127"/>
      <c r="R3" s="134"/>
      <c r="S3" s="1"/>
      <c r="T3" s="1"/>
      <c r="U3" s="1"/>
      <c r="V3" s="1"/>
      <c r="W3" s="1"/>
      <c r="X3" s="1"/>
      <c r="Y3" s="1"/>
      <c r="Z3" s="1"/>
      <c r="AA3" s="1"/>
      <c r="AB3" s="1"/>
      <c r="AC3" s="1"/>
      <c r="AD3" s="1"/>
      <c r="AE3" s="1"/>
      <c r="AF3" s="1"/>
      <c r="AG3" s="1"/>
      <c r="AH3" s="1"/>
      <c r="AI3" s="1"/>
      <c r="AJ3" s="1"/>
      <c r="AK3" s="1"/>
      <c r="AL3" s="1"/>
      <c r="AM3" s="1"/>
      <c r="AN3" s="1"/>
      <c r="AO3" s="1"/>
      <c r="AP3" s="1"/>
      <c r="AQ3" s="1"/>
    </row>
    <row r="4" spans="1:43" s="2" customFormat="1" ht="28.5" customHeight="1" x14ac:dyDescent="0.25">
      <c r="A4" s="74" t="s">
        <v>138</v>
      </c>
      <c r="B4" s="69">
        <v>521024</v>
      </c>
      <c r="C4" s="129" t="s">
        <v>2</v>
      </c>
      <c r="D4" s="130" t="s">
        <v>16</v>
      </c>
      <c r="E4" s="125" t="s">
        <v>43</v>
      </c>
      <c r="F4" s="130" t="s">
        <v>20</v>
      </c>
      <c r="G4" s="132"/>
      <c r="H4" s="132"/>
      <c r="I4" s="133" t="s">
        <v>75</v>
      </c>
      <c r="J4" s="117">
        <v>3</v>
      </c>
      <c r="K4" s="126" t="s">
        <v>192</v>
      </c>
      <c r="L4" s="117" t="s">
        <v>19</v>
      </c>
      <c r="M4" s="127" t="s">
        <v>11</v>
      </c>
      <c r="N4" s="136" t="s">
        <v>11</v>
      </c>
      <c r="O4" s="136"/>
      <c r="P4" s="127"/>
      <c r="Q4" s="127"/>
      <c r="R4" s="134"/>
      <c r="S4" s="1"/>
      <c r="T4" s="1"/>
      <c r="U4" s="1"/>
      <c r="V4" s="1"/>
      <c r="W4" s="1"/>
      <c r="X4" s="1"/>
      <c r="Y4" s="1"/>
      <c r="Z4" s="1"/>
      <c r="AA4" s="1"/>
      <c r="AB4" s="1"/>
      <c r="AC4" s="1"/>
      <c r="AD4" s="1"/>
      <c r="AE4" s="1"/>
      <c r="AF4" s="1"/>
      <c r="AG4" s="1"/>
      <c r="AH4" s="1"/>
      <c r="AI4" s="1"/>
      <c r="AJ4" s="1"/>
      <c r="AK4" s="1"/>
      <c r="AL4" s="1"/>
      <c r="AM4" s="1"/>
      <c r="AN4" s="1"/>
      <c r="AO4" s="1"/>
      <c r="AP4" s="1"/>
      <c r="AQ4" s="1"/>
    </row>
    <row r="5" spans="1:43" s="2" customFormat="1" ht="75" x14ac:dyDescent="0.25">
      <c r="A5" s="74"/>
      <c r="B5" s="80"/>
      <c r="C5" s="70" t="s">
        <v>36</v>
      </c>
      <c r="D5" s="72" t="s">
        <v>16</v>
      </c>
      <c r="E5" s="72"/>
      <c r="F5" s="72" t="s">
        <v>53</v>
      </c>
      <c r="G5" s="73" t="s">
        <v>11</v>
      </c>
      <c r="H5" s="73" t="s">
        <v>10</v>
      </c>
      <c r="I5" s="122" t="s">
        <v>190</v>
      </c>
      <c r="J5" s="74">
        <v>150</v>
      </c>
      <c r="K5" s="75" t="s">
        <v>20</v>
      </c>
      <c r="L5" s="74" t="s">
        <v>53</v>
      </c>
      <c r="M5" s="135" t="s">
        <v>193</v>
      </c>
      <c r="N5" s="118" t="s">
        <v>185</v>
      </c>
      <c r="O5" s="74"/>
      <c r="P5" s="76"/>
      <c r="Q5" s="74"/>
      <c r="R5" s="92" t="s">
        <v>212</v>
      </c>
      <c r="S5" s="1"/>
      <c r="T5" s="1"/>
      <c r="U5" s="1"/>
      <c r="V5" s="1"/>
      <c r="W5" s="1"/>
      <c r="X5" s="1"/>
      <c r="Y5" s="1"/>
      <c r="Z5" s="1"/>
      <c r="AA5" s="1"/>
      <c r="AB5" s="1"/>
      <c r="AC5" s="1"/>
      <c r="AD5" s="1"/>
      <c r="AE5" s="1"/>
      <c r="AF5" s="1"/>
      <c r="AG5" s="1"/>
      <c r="AH5" s="1"/>
      <c r="AI5" s="1"/>
      <c r="AJ5" s="1"/>
      <c r="AK5" s="1"/>
      <c r="AL5" s="1"/>
      <c r="AM5" s="1"/>
      <c r="AN5" s="1"/>
      <c r="AO5" s="1"/>
      <c r="AP5" s="1"/>
      <c r="AQ5" s="1"/>
    </row>
    <row r="6" spans="1:43" ht="27.75" customHeight="1" x14ac:dyDescent="0.25">
      <c r="A6" s="81" t="s">
        <v>139</v>
      </c>
      <c r="B6" s="80">
        <v>521021</v>
      </c>
      <c r="C6" s="77" t="s">
        <v>29</v>
      </c>
      <c r="D6" s="78" t="s">
        <v>16</v>
      </c>
      <c r="E6" s="78" t="s">
        <v>48</v>
      </c>
      <c r="F6" s="78" t="s">
        <v>51</v>
      </c>
      <c r="G6" s="79"/>
      <c r="H6" s="79"/>
      <c r="I6" s="121" t="s">
        <v>39</v>
      </c>
      <c r="J6" s="74">
        <v>5</v>
      </c>
      <c r="K6" s="75" t="s">
        <v>158</v>
      </c>
      <c r="L6" s="74" t="s">
        <v>56</v>
      </c>
      <c r="M6" s="135" t="s">
        <v>185</v>
      </c>
      <c r="N6" s="139" t="s">
        <v>186</v>
      </c>
      <c r="O6" s="74"/>
      <c r="P6" s="76"/>
      <c r="Q6" s="74"/>
      <c r="R6" s="80" t="s">
        <v>177</v>
      </c>
    </row>
    <row r="7" spans="1:43" ht="25.5" customHeight="1" x14ac:dyDescent="0.25">
      <c r="A7" s="74" t="s">
        <v>140</v>
      </c>
      <c r="B7" s="80">
        <v>521024</v>
      </c>
      <c r="C7" s="77" t="s">
        <v>33</v>
      </c>
      <c r="D7" s="78" t="s">
        <v>61</v>
      </c>
      <c r="E7" s="80"/>
      <c r="F7" s="78" t="s">
        <v>51</v>
      </c>
      <c r="G7" s="74"/>
      <c r="H7" s="74"/>
      <c r="I7" s="97" t="s">
        <v>74</v>
      </c>
      <c r="J7" s="80"/>
      <c r="K7" s="75" t="s">
        <v>158</v>
      </c>
      <c r="L7" s="74" t="s">
        <v>56</v>
      </c>
      <c r="M7" s="140" t="s">
        <v>211</v>
      </c>
      <c r="N7" s="118" t="s">
        <v>186</v>
      </c>
      <c r="O7" s="80"/>
      <c r="P7" s="83"/>
      <c r="Q7" s="80"/>
      <c r="R7" s="84"/>
    </row>
    <row r="8" spans="1:43" ht="45" x14ac:dyDescent="0.25">
      <c r="A8" s="74" t="s">
        <v>140</v>
      </c>
      <c r="B8" s="80" t="s">
        <v>141</v>
      </c>
      <c r="C8" s="129" t="s">
        <v>31</v>
      </c>
      <c r="D8" s="130" t="s">
        <v>24</v>
      </c>
      <c r="E8" s="130" t="s">
        <v>175</v>
      </c>
      <c r="F8" s="130" t="s">
        <v>51</v>
      </c>
      <c r="G8" s="117"/>
      <c r="H8" s="117"/>
      <c r="I8" s="117" t="s">
        <v>74</v>
      </c>
      <c r="J8" s="117">
        <v>83</v>
      </c>
      <c r="K8" s="154" t="s">
        <v>173</v>
      </c>
      <c r="L8" s="117" t="s">
        <v>56</v>
      </c>
      <c r="M8" s="143" t="s">
        <v>11</v>
      </c>
      <c r="N8" s="143" t="s">
        <v>11</v>
      </c>
      <c r="O8" s="127"/>
      <c r="P8" s="136"/>
      <c r="Q8" s="136"/>
      <c r="R8" s="155" t="s">
        <v>208</v>
      </c>
    </row>
    <row r="9" spans="1:43" ht="45.75" customHeight="1" x14ac:dyDescent="0.25">
      <c r="A9" s="74" t="s">
        <v>140</v>
      </c>
      <c r="B9" s="80" t="s">
        <v>142</v>
      </c>
      <c r="C9" s="77" t="s">
        <v>32</v>
      </c>
      <c r="D9" s="78" t="s">
        <v>24</v>
      </c>
      <c r="E9" s="78" t="s">
        <v>50</v>
      </c>
      <c r="F9" s="78" t="s">
        <v>51</v>
      </c>
      <c r="G9" s="74"/>
      <c r="H9" s="74"/>
      <c r="I9" s="97" t="s">
        <v>74</v>
      </c>
      <c r="J9" s="80">
        <v>1020</v>
      </c>
      <c r="K9" s="82" t="s">
        <v>183</v>
      </c>
      <c r="L9" s="74" t="s">
        <v>56</v>
      </c>
      <c r="M9" s="141" t="s">
        <v>11</v>
      </c>
      <c r="N9" s="118" t="s">
        <v>185</v>
      </c>
      <c r="O9" s="80"/>
      <c r="P9" s="83"/>
      <c r="Q9" s="80"/>
      <c r="R9" s="84"/>
    </row>
    <row r="10" spans="1:43" s="5" customFormat="1" ht="30" hidden="1" x14ac:dyDescent="0.25">
      <c r="A10" s="81" t="s">
        <v>143</v>
      </c>
      <c r="B10" s="80">
        <v>521021</v>
      </c>
      <c r="C10" s="77" t="s">
        <v>58</v>
      </c>
      <c r="D10" s="78" t="s">
        <v>24</v>
      </c>
      <c r="E10" s="86"/>
      <c r="F10" s="78" t="s">
        <v>68</v>
      </c>
      <c r="G10" s="79"/>
      <c r="H10" s="79"/>
      <c r="I10" s="95" t="s">
        <v>160</v>
      </c>
      <c r="J10" s="80"/>
      <c r="K10" s="75"/>
      <c r="L10" s="74"/>
      <c r="M10" s="96"/>
      <c r="N10" s="139"/>
      <c r="O10" s="76"/>
      <c r="P10" s="83"/>
      <c r="Q10" s="83"/>
      <c r="R10" s="84"/>
      <c r="S10" s="4"/>
      <c r="T10" s="4"/>
      <c r="U10" s="4"/>
      <c r="V10" s="4"/>
      <c r="W10" s="4"/>
      <c r="X10" s="4"/>
      <c r="Y10" s="4"/>
      <c r="Z10" s="4"/>
      <c r="AA10" s="4"/>
      <c r="AB10" s="4"/>
      <c r="AC10" s="4"/>
      <c r="AD10" s="4"/>
      <c r="AE10" s="4"/>
      <c r="AF10" s="4"/>
      <c r="AG10" s="4"/>
      <c r="AH10" s="4"/>
      <c r="AI10" s="4"/>
      <c r="AJ10" s="4"/>
      <c r="AK10" s="4"/>
      <c r="AL10" s="4"/>
      <c r="AM10" s="4"/>
      <c r="AN10" s="4"/>
      <c r="AO10" s="4"/>
      <c r="AP10" s="4"/>
      <c r="AQ10" s="4"/>
    </row>
    <row r="11" spans="1:43" s="2" customFormat="1" ht="30" hidden="1" x14ac:dyDescent="0.25">
      <c r="A11" s="81" t="s">
        <v>144</v>
      </c>
      <c r="B11" s="80">
        <v>521020</v>
      </c>
      <c r="C11" s="77" t="s">
        <v>38</v>
      </c>
      <c r="D11" s="78" t="s">
        <v>24</v>
      </c>
      <c r="E11" s="87"/>
      <c r="F11" s="78" t="s">
        <v>20</v>
      </c>
      <c r="G11" s="79"/>
      <c r="H11" s="79"/>
      <c r="I11" s="95" t="s">
        <v>160</v>
      </c>
      <c r="J11" s="80"/>
      <c r="K11" s="74"/>
      <c r="L11" s="74"/>
      <c r="M11" s="96"/>
      <c r="N11" s="142"/>
      <c r="O11" s="80"/>
      <c r="P11" s="76"/>
      <c r="Q11" s="118"/>
      <c r="R11" s="84"/>
      <c r="S11" s="1"/>
      <c r="T11" s="1"/>
      <c r="U11" s="1"/>
      <c r="V11" s="1"/>
      <c r="W11" s="1"/>
      <c r="X11" s="1"/>
      <c r="Y11" s="1"/>
      <c r="Z11" s="1"/>
      <c r="AA11" s="1"/>
      <c r="AB11" s="1"/>
      <c r="AC11" s="1"/>
      <c r="AD11" s="1"/>
      <c r="AE11" s="1"/>
      <c r="AF11" s="1"/>
      <c r="AG11" s="1"/>
      <c r="AH11" s="1"/>
      <c r="AI11" s="1"/>
      <c r="AJ11" s="1"/>
      <c r="AK11" s="1"/>
      <c r="AL11" s="1"/>
      <c r="AM11" s="1"/>
      <c r="AN11" s="1"/>
      <c r="AO11" s="1"/>
      <c r="AP11" s="1"/>
      <c r="AQ11" s="1"/>
    </row>
    <row r="12" spans="1:43" s="2" customFormat="1" ht="30" x14ac:dyDescent="0.25">
      <c r="A12" s="74" t="s">
        <v>145</v>
      </c>
      <c r="B12" s="80"/>
      <c r="C12" s="77" t="s">
        <v>65</v>
      </c>
      <c r="D12" s="78" t="s">
        <v>24</v>
      </c>
      <c r="E12" s="87"/>
      <c r="F12" s="78" t="s">
        <v>70</v>
      </c>
      <c r="G12" s="79"/>
      <c r="H12" s="79"/>
      <c r="I12" s="95" t="s">
        <v>160</v>
      </c>
      <c r="J12" s="80"/>
      <c r="K12" s="74"/>
      <c r="L12" s="74"/>
      <c r="M12" s="96"/>
      <c r="N12" s="142"/>
      <c r="O12" s="80"/>
      <c r="P12" s="76"/>
      <c r="Q12" s="118"/>
      <c r="R12" s="84"/>
      <c r="S12" s="1"/>
      <c r="T12" s="1"/>
      <c r="U12" s="1"/>
      <c r="V12" s="1"/>
      <c r="W12" s="1"/>
      <c r="X12" s="1"/>
      <c r="Y12" s="1"/>
      <c r="Z12" s="1"/>
      <c r="AA12" s="1"/>
      <c r="AB12" s="1"/>
      <c r="AC12" s="1"/>
      <c r="AD12" s="1"/>
      <c r="AE12" s="1"/>
      <c r="AF12" s="1"/>
      <c r="AG12" s="1"/>
      <c r="AH12" s="1"/>
      <c r="AI12" s="1"/>
      <c r="AJ12" s="1"/>
      <c r="AK12" s="1"/>
      <c r="AL12" s="1"/>
      <c r="AM12" s="1"/>
      <c r="AN12" s="1"/>
      <c r="AO12" s="1"/>
      <c r="AP12" s="1"/>
      <c r="AQ12" s="1"/>
    </row>
    <row r="13" spans="1:43" s="2" customFormat="1" ht="20.45" customHeight="1" x14ac:dyDescent="0.25">
      <c r="A13" s="74" t="s">
        <v>138</v>
      </c>
      <c r="B13" s="80">
        <v>521022</v>
      </c>
      <c r="C13" s="70" t="s">
        <v>52</v>
      </c>
      <c r="D13" s="72" t="s">
        <v>60</v>
      </c>
      <c r="E13" s="72" t="s">
        <v>45</v>
      </c>
      <c r="F13" s="88"/>
      <c r="G13" s="73" t="s">
        <v>11</v>
      </c>
      <c r="H13" s="73"/>
      <c r="I13" s="121" t="s">
        <v>73</v>
      </c>
      <c r="J13" s="74"/>
      <c r="K13" s="75" t="s">
        <v>158</v>
      </c>
      <c r="L13" s="74" t="s">
        <v>19</v>
      </c>
      <c r="M13" s="141" t="s">
        <v>11</v>
      </c>
      <c r="N13" s="135" t="s">
        <v>193</v>
      </c>
      <c r="O13" s="74"/>
      <c r="P13" s="76"/>
      <c r="Q13" s="74"/>
      <c r="R13" s="84" t="s">
        <v>209</v>
      </c>
      <c r="S13" s="1"/>
      <c r="T13" s="1"/>
      <c r="U13" s="1"/>
      <c r="V13" s="1"/>
      <c r="W13" s="1"/>
      <c r="X13" s="1"/>
      <c r="Y13" s="1"/>
      <c r="Z13" s="1"/>
      <c r="AA13" s="1"/>
      <c r="AB13" s="1"/>
      <c r="AC13" s="1"/>
      <c r="AD13" s="1"/>
      <c r="AE13" s="1"/>
      <c r="AF13" s="1"/>
      <c r="AG13" s="1"/>
      <c r="AH13" s="1"/>
      <c r="AI13" s="1"/>
      <c r="AJ13" s="1"/>
      <c r="AK13" s="1"/>
      <c r="AL13" s="1"/>
      <c r="AM13" s="1"/>
      <c r="AN13" s="1"/>
      <c r="AO13" s="1"/>
      <c r="AP13" s="1"/>
      <c r="AQ13" s="1"/>
    </row>
    <row r="14" spans="1:43" ht="24" customHeight="1" x14ac:dyDescent="0.25">
      <c r="A14" s="74" t="s">
        <v>146</v>
      </c>
      <c r="B14" s="80">
        <v>521021</v>
      </c>
      <c r="C14" s="77" t="s">
        <v>7</v>
      </c>
      <c r="D14" s="78" t="s">
        <v>132</v>
      </c>
      <c r="E14" s="78" t="s">
        <v>49</v>
      </c>
      <c r="F14" s="78" t="s">
        <v>20</v>
      </c>
      <c r="G14" s="74"/>
      <c r="H14" s="74"/>
      <c r="I14" s="121" t="s">
        <v>75</v>
      </c>
      <c r="J14" s="80">
        <v>3</v>
      </c>
      <c r="K14" s="82" t="s">
        <v>78</v>
      </c>
      <c r="L14" s="80"/>
      <c r="M14" s="141" t="s">
        <v>11</v>
      </c>
      <c r="N14" s="118" t="s">
        <v>187</v>
      </c>
      <c r="O14" s="80"/>
      <c r="P14" s="80"/>
      <c r="Q14" s="80"/>
      <c r="R14" s="84"/>
    </row>
    <row r="15" spans="1:43" ht="50.45" customHeight="1" x14ac:dyDescent="0.25">
      <c r="A15" s="74" t="s">
        <v>138</v>
      </c>
      <c r="B15" s="80">
        <v>521021</v>
      </c>
      <c r="C15" s="77" t="s">
        <v>6</v>
      </c>
      <c r="D15" s="78" t="s">
        <v>60</v>
      </c>
      <c r="E15" s="71" t="s">
        <v>137</v>
      </c>
      <c r="F15" s="78" t="s">
        <v>184</v>
      </c>
      <c r="G15" s="76">
        <v>46126</v>
      </c>
      <c r="H15" s="79" t="s">
        <v>131</v>
      </c>
      <c r="I15" s="95" t="s">
        <v>188</v>
      </c>
      <c r="J15" s="74"/>
      <c r="K15" s="75">
        <v>0.6</v>
      </c>
      <c r="L15" s="74"/>
      <c r="M15" s="141" t="s">
        <v>11</v>
      </c>
      <c r="N15" s="135" t="s">
        <v>193</v>
      </c>
      <c r="O15" s="74"/>
      <c r="P15" s="76"/>
      <c r="Q15" s="74"/>
      <c r="R15" s="84" t="s">
        <v>209</v>
      </c>
    </row>
    <row r="16" spans="1:43" s="2" customFormat="1" ht="30.6" customHeight="1" x14ac:dyDescent="0.25">
      <c r="A16" s="74" t="s">
        <v>138</v>
      </c>
      <c r="B16" s="80">
        <v>521023</v>
      </c>
      <c r="C16" s="89" t="s">
        <v>4</v>
      </c>
      <c r="D16" s="91" t="s">
        <v>60</v>
      </c>
      <c r="E16" s="90" t="s">
        <v>180</v>
      </c>
      <c r="F16" s="91" t="s">
        <v>13</v>
      </c>
      <c r="G16" s="80"/>
      <c r="H16" s="74"/>
      <c r="I16" s="97"/>
      <c r="J16" s="74"/>
      <c r="K16" s="75"/>
      <c r="L16" s="74" t="s">
        <v>64</v>
      </c>
      <c r="M16" s="96" t="s">
        <v>62</v>
      </c>
      <c r="N16" s="142"/>
      <c r="O16" s="74"/>
      <c r="P16" s="83"/>
      <c r="Q16" s="74"/>
      <c r="R16" s="84"/>
      <c r="S16" s="1"/>
      <c r="T16" s="1"/>
      <c r="U16" s="1"/>
      <c r="V16" s="1"/>
      <c r="W16" s="1"/>
      <c r="X16" s="1"/>
      <c r="Y16" s="1"/>
      <c r="Z16" s="1"/>
      <c r="AA16" s="1"/>
      <c r="AB16" s="1"/>
      <c r="AC16" s="1"/>
      <c r="AD16" s="1"/>
      <c r="AE16" s="1"/>
      <c r="AF16" s="1"/>
      <c r="AG16" s="1"/>
      <c r="AH16" s="1"/>
      <c r="AI16" s="1"/>
      <c r="AJ16" s="1"/>
      <c r="AK16" s="1"/>
      <c r="AL16" s="1"/>
      <c r="AM16" s="1"/>
      <c r="AN16" s="1"/>
      <c r="AO16" s="1"/>
      <c r="AP16" s="1"/>
      <c r="AQ16" s="1"/>
    </row>
    <row r="17" spans="1:43" s="2" customFormat="1" ht="32.25" customHeight="1" x14ac:dyDescent="0.25">
      <c r="A17" s="74" t="s">
        <v>138</v>
      </c>
      <c r="B17" s="80">
        <v>521023</v>
      </c>
      <c r="C17" s="89" t="s">
        <v>151</v>
      </c>
      <c r="D17" s="91" t="s">
        <v>63</v>
      </c>
      <c r="E17" s="90" t="s">
        <v>181</v>
      </c>
      <c r="F17" s="91" t="s">
        <v>13</v>
      </c>
      <c r="G17" s="80"/>
      <c r="H17" s="74"/>
      <c r="I17" s="97"/>
      <c r="J17" s="74"/>
      <c r="K17" s="75"/>
      <c r="L17" s="74" t="s">
        <v>64</v>
      </c>
      <c r="M17" s="96" t="s">
        <v>62</v>
      </c>
      <c r="N17" s="142"/>
      <c r="O17" s="74"/>
      <c r="P17" s="83"/>
      <c r="Q17" s="74"/>
      <c r="R17" s="84" t="s">
        <v>182</v>
      </c>
      <c r="S17" s="1"/>
      <c r="T17" s="1"/>
      <c r="U17" s="1"/>
      <c r="V17" s="1"/>
      <c r="W17" s="1"/>
      <c r="X17" s="1"/>
      <c r="Y17" s="1"/>
      <c r="Z17" s="1"/>
      <c r="AA17" s="1"/>
      <c r="AB17" s="1"/>
      <c r="AC17" s="1"/>
      <c r="AD17" s="1"/>
      <c r="AE17" s="1"/>
      <c r="AF17" s="1"/>
      <c r="AG17" s="1"/>
      <c r="AH17" s="1"/>
      <c r="AI17" s="1"/>
      <c r="AJ17" s="1"/>
      <c r="AK17" s="1"/>
      <c r="AL17" s="1"/>
      <c r="AM17" s="1"/>
      <c r="AN17" s="1"/>
      <c r="AO17" s="1"/>
      <c r="AP17" s="1"/>
      <c r="AQ17" s="1"/>
    </row>
    <row r="18" spans="1:43" s="5" customFormat="1" ht="45" x14ac:dyDescent="0.25">
      <c r="A18" s="74" t="s">
        <v>147</v>
      </c>
      <c r="B18" s="80">
        <v>521021</v>
      </c>
      <c r="C18" s="129" t="s">
        <v>40</v>
      </c>
      <c r="D18" s="130" t="s">
        <v>59</v>
      </c>
      <c r="E18" s="125" t="s">
        <v>46</v>
      </c>
      <c r="F18" s="130" t="s">
        <v>70</v>
      </c>
      <c r="G18" s="131">
        <v>46126</v>
      </c>
      <c r="H18" s="132" t="s">
        <v>130</v>
      </c>
      <c r="I18" s="133" t="s">
        <v>75</v>
      </c>
      <c r="J18" s="116">
        <v>8</v>
      </c>
      <c r="K18" s="126" t="s">
        <v>192</v>
      </c>
      <c r="L18" s="117" t="s">
        <v>56</v>
      </c>
      <c r="M18" s="143" t="s">
        <v>206</v>
      </c>
      <c r="N18" s="144" t="s">
        <v>159</v>
      </c>
      <c r="O18" s="127"/>
      <c r="P18" s="116"/>
      <c r="Q18" s="134"/>
      <c r="R18" s="128"/>
      <c r="S18" s="4"/>
      <c r="T18" s="4"/>
      <c r="U18" s="4"/>
      <c r="V18" s="4"/>
      <c r="W18" s="4"/>
      <c r="X18" s="4"/>
      <c r="Y18" s="4"/>
      <c r="Z18" s="4"/>
      <c r="AA18" s="4"/>
      <c r="AB18" s="4"/>
      <c r="AC18" s="4"/>
      <c r="AD18" s="4"/>
      <c r="AE18" s="4"/>
      <c r="AF18" s="4"/>
      <c r="AG18" s="4"/>
      <c r="AH18" s="4"/>
      <c r="AI18" s="4"/>
      <c r="AJ18" s="4"/>
      <c r="AK18" s="4"/>
      <c r="AL18" s="4"/>
      <c r="AM18" s="4"/>
      <c r="AN18" s="4"/>
      <c r="AO18" s="4"/>
      <c r="AP18" s="4"/>
      <c r="AQ18" s="4"/>
    </row>
    <row r="19" spans="1:43" s="5" customFormat="1" ht="30" x14ac:dyDescent="0.25">
      <c r="A19" s="74" t="s">
        <v>147</v>
      </c>
      <c r="B19" s="80">
        <v>521022</v>
      </c>
      <c r="C19" s="129" t="s">
        <v>41</v>
      </c>
      <c r="D19" s="130" t="s">
        <v>59</v>
      </c>
      <c r="E19" s="125" t="s">
        <v>47</v>
      </c>
      <c r="F19" s="130" t="s">
        <v>70</v>
      </c>
      <c r="G19" s="131">
        <v>46126</v>
      </c>
      <c r="H19" s="132" t="s">
        <v>130</v>
      </c>
      <c r="I19" s="133" t="s">
        <v>75</v>
      </c>
      <c r="J19" s="116">
        <v>7</v>
      </c>
      <c r="K19" s="126" t="s">
        <v>192</v>
      </c>
      <c r="L19" s="117" t="s">
        <v>56</v>
      </c>
      <c r="M19" s="143" t="s">
        <v>207</v>
      </c>
      <c r="N19" s="145" t="s">
        <v>159</v>
      </c>
      <c r="O19" s="127"/>
      <c r="P19" s="116"/>
      <c r="Q19" s="134"/>
      <c r="R19" s="128"/>
      <c r="S19" s="4"/>
      <c r="T19" s="4"/>
      <c r="U19" s="4"/>
      <c r="V19" s="4"/>
      <c r="W19" s="4"/>
      <c r="X19" s="4"/>
      <c r="Y19" s="4"/>
      <c r="Z19" s="4"/>
      <c r="AA19" s="4"/>
      <c r="AB19" s="4"/>
      <c r="AC19" s="4"/>
      <c r="AD19" s="4"/>
      <c r="AE19" s="4"/>
      <c r="AF19" s="4"/>
      <c r="AG19" s="4"/>
      <c r="AH19" s="4"/>
      <c r="AI19" s="4"/>
      <c r="AJ19" s="4"/>
      <c r="AK19" s="4"/>
      <c r="AL19" s="4"/>
      <c r="AM19" s="4"/>
      <c r="AN19" s="4"/>
      <c r="AO19" s="4"/>
      <c r="AP19" s="4"/>
      <c r="AQ19" s="4"/>
    </row>
    <row r="20" spans="1:43" ht="23.25" customHeight="1" x14ac:dyDescent="0.25">
      <c r="A20" s="74" t="s">
        <v>148</v>
      </c>
      <c r="B20" s="80">
        <v>521020</v>
      </c>
      <c r="C20" s="77" t="s">
        <v>37</v>
      </c>
      <c r="D20" s="78" t="s">
        <v>59</v>
      </c>
      <c r="E20" s="71" t="s">
        <v>23</v>
      </c>
      <c r="F20" s="78" t="s">
        <v>20</v>
      </c>
      <c r="G20" s="79"/>
      <c r="H20" s="79"/>
      <c r="I20" s="121" t="s">
        <v>75</v>
      </c>
      <c r="J20" s="74">
        <v>140</v>
      </c>
      <c r="K20" s="75" t="s">
        <v>173</v>
      </c>
      <c r="L20" s="74"/>
      <c r="M20" s="141" t="s">
        <v>11</v>
      </c>
      <c r="N20" s="118" t="s">
        <v>191</v>
      </c>
      <c r="O20" s="80"/>
      <c r="P20" s="80"/>
      <c r="Q20" s="80"/>
      <c r="R20" s="84" t="s">
        <v>194</v>
      </c>
    </row>
    <row r="21" spans="1:43" ht="30" x14ac:dyDescent="0.25">
      <c r="A21" s="74" t="s">
        <v>134</v>
      </c>
      <c r="B21" s="80">
        <v>521021</v>
      </c>
      <c r="C21" s="123" t="s">
        <v>5</v>
      </c>
      <c r="D21" s="124" t="s">
        <v>18</v>
      </c>
      <c r="E21" s="125" t="s">
        <v>22</v>
      </c>
      <c r="F21" s="124" t="s">
        <v>72</v>
      </c>
      <c r="G21" s="117" t="s">
        <v>11</v>
      </c>
      <c r="H21" s="117" t="s">
        <v>10</v>
      </c>
      <c r="I21" s="117" t="s">
        <v>91</v>
      </c>
      <c r="J21" s="117">
        <v>2</v>
      </c>
      <c r="K21" s="126" t="s">
        <v>192</v>
      </c>
      <c r="L21" s="117" t="s">
        <v>53</v>
      </c>
      <c r="M21" s="143" t="s">
        <v>69</v>
      </c>
      <c r="N21" s="146" t="s">
        <v>159</v>
      </c>
      <c r="O21" s="117"/>
      <c r="P21" s="117"/>
      <c r="Q21" s="117"/>
      <c r="R21" s="128"/>
    </row>
    <row r="22" spans="1:43" s="2" customFormat="1" ht="30" x14ac:dyDescent="0.25">
      <c r="A22" s="74" t="s">
        <v>149</v>
      </c>
      <c r="B22" s="80">
        <v>521020</v>
      </c>
      <c r="C22" s="77" t="s">
        <v>3</v>
      </c>
      <c r="D22" s="78" t="s">
        <v>17</v>
      </c>
      <c r="E22" s="71" t="s">
        <v>21</v>
      </c>
      <c r="F22" s="78" t="s">
        <v>13</v>
      </c>
      <c r="G22" s="76">
        <v>46098</v>
      </c>
      <c r="H22" s="74" t="s">
        <v>130</v>
      </c>
      <c r="I22" s="101" t="s">
        <v>150</v>
      </c>
      <c r="J22" s="114">
        <v>265</v>
      </c>
      <c r="K22" s="114" t="s">
        <v>76</v>
      </c>
      <c r="L22" s="74" t="s">
        <v>53</v>
      </c>
      <c r="M22" s="96" t="s">
        <v>77</v>
      </c>
      <c r="N22" s="139"/>
      <c r="O22" s="119"/>
      <c r="P22" s="119"/>
      <c r="Q22" s="119"/>
      <c r="R22" s="119"/>
      <c r="S22" s="1"/>
      <c r="T22" s="1"/>
      <c r="U22" s="1"/>
      <c r="V22" s="1"/>
      <c r="W22" s="1"/>
      <c r="X22" s="1"/>
      <c r="Y22" s="1"/>
      <c r="Z22" s="1"/>
      <c r="AA22" s="1"/>
      <c r="AB22" s="1"/>
      <c r="AC22" s="1"/>
      <c r="AD22" s="1"/>
      <c r="AE22" s="1"/>
      <c r="AF22" s="1"/>
      <c r="AG22" s="1"/>
      <c r="AH22" s="1"/>
      <c r="AI22" s="1"/>
      <c r="AJ22" s="1"/>
      <c r="AK22" s="1"/>
      <c r="AL22" s="1"/>
      <c r="AM22" s="1"/>
      <c r="AN22" s="1"/>
      <c r="AO22" s="1"/>
      <c r="AP22" s="1"/>
      <c r="AQ22" s="1"/>
    </row>
    <row r="23" spans="1:43" ht="30" x14ac:dyDescent="0.25">
      <c r="A23" s="92" t="s">
        <v>145</v>
      </c>
      <c r="B23" s="92">
        <v>521021</v>
      </c>
      <c r="C23" s="93" t="s">
        <v>12</v>
      </c>
      <c r="D23" s="94" t="s">
        <v>17</v>
      </c>
      <c r="E23" s="120"/>
      <c r="F23" s="94" t="s">
        <v>67</v>
      </c>
      <c r="G23" s="95"/>
      <c r="H23" s="95"/>
      <c r="I23" s="95" t="s">
        <v>165</v>
      </c>
      <c r="J23" s="96"/>
      <c r="K23" s="96">
        <v>0</v>
      </c>
      <c r="L23" s="97"/>
      <c r="M23" s="96" t="s">
        <v>66</v>
      </c>
      <c r="N23" s="96"/>
      <c r="O23" s="97"/>
      <c r="P23" s="97"/>
      <c r="Q23" s="97"/>
      <c r="R23" s="92"/>
    </row>
    <row r="24" spans="1:43" ht="30" x14ac:dyDescent="0.25">
      <c r="A24" s="74"/>
      <c r="B24" s="80"/>
      <c r="C24" s="77" t="s">
        <v>26</v>
      </c>
      <c r="D24" s="78" t="s">
        <v>17</v>
      </c>
      <c r="E24" s="87"/>
      <c r="F24" s="78" t="s">
        <v>13</v>
      </c>
      <c r="G24" s="115">
        <v>46126</v>
      </c>
      <c r="H24" s="73" t="s">
        <v>130</v>
      </c>
      <c r="I24" s="121" t="s">
        <v>178</v>
      </c>
      <c r="J24" s="114">
        <v>5</v>
      </c>
      <c r="K24" s="114" t="s">
        <v>76</v>
      </c>
      <c r="L24" s="74" t="s">
        <v>53</v>
      </c>
      <c r="M24" s="96" t="s">
        <v>77</v>
      </c>
      <c r="N24" s="118"/>
      <c r="O24" s="74"/>
      <c r="P24" s="74"/>
      <c r="Q24" s="74"/>
      <c r="R24" s="74"/>
    </row>
    <row r="25" spans="1:43" ht="30" x14ac:dyDescent="0.25">
      <c r="A25" s="92" t="s">
        <v>148</v>
      </c>
      <c r="B25" s="92"/>
      <c r="C25" s="98" t="s">
        <v>92</v>
      </c>
      <c r="D25" s="100" t="s">
        <v>17</v>
      </c>
      <c r="E25" s="99" t="s">
        <v>166</v>
      </c>
      <c r="F25" s="100" t="s">
        <v>53</v>
      </c>
      <c r="G25" s="101">
        <v>46110</v>
      </c>
      <c r="H25" s="97" t="s">
        <v>130</v>
      </c>
      <c r="I25" s="97" t="s">
        <v>133</v>
      </c>
      <c r="J25" s="97">
        <v>17</v>
      </c>
      <c r="K25" s="97">
        <v>0</v>
      </c>
      <c r="L25" s="97" t="s">
        <v>53</v>
      </c>
      <c r="M25" s="96" t="s">
        <v>66</v>
      </c>
      <c r="N25" s="96"/>
      <c r="O25" s="97"/>
      <c r="P25" s="97"/>
      <c r="Q25" s="97"/>
      <c r="R25" s="97"/>
    </row>
    <row r="26" spans="1:43" ht="34.5" customHeight="1" x14ac:dyDescent="0.25">
      <c r="A26" s="111" t="s">
        <v>144</v>
      </c>
      <c r="B26" s="92"/>
      <c r="C26" s="105" t="s">
        <v>93</v>
      </c>
      <c r="D26" s="100" t="s">
        <v>24</v>
      </c>
      <c r="E26" s="106" t="s">
        <v>136</v>
      </c>
      <c r="F26" s="100" t="s">
        <v>53</v>
      </c>
      <c r="G26" s="101">
        <v>46110</v>
      </c>
      <c r="H26" s="97" t="s">
        <v>130</v>
      </c>
      <c r="I26" s="121" t="s">
        <v>157</v>
      </c>
      <c r="J26" s="97"/>
      <c r="K26" s="97">
        <v>0</v>
      </c>
      <c r="L26" s="97" t="s">
        <v>53</v>
      </c>
      <c r="M26" s="141" t="s">
        <v>11</v>
      </c>
      <c r="N26" s="135" t="s">
        <v>191</v>
      </c>
      <c r="O26" s="97"/>
      <c r="P26" s="97"/>
      <c r="Q26" s="97"/>
      <c r="R26" s="110" t="s">
        <v>189</v>
      </c>
    </row>
    <row r="27" spans="1:43" ht="23.1" customHeight="1" x14ac:dyDescent="0.25">
      <c r="A27" s="111" t="s">
        <v>144</v>
      </c>
      <c r="B27" s="80"/>
      <c r="C27" s="85" t="s">
        <v>129</v>
      </c>
      <c r="D27" s="91" t="s">
        <v>24</v>
      </c>
      <c r="E27" s="84" t="s">
        <v>135</v>
      </c>
      <c r="F27" s="91" t="s">
        <v>53</v>
      </c>
      <c r="G27" s="76">
        <v>46126</v>
      </c>
      <c r="H27" s="74" t="s">
        <v>130</v>
      </c>
      <c r="I27" s="92" t="s">
        <v>156</v>
      </c>
      <c r="J27" s="74"/>
      <c r="K27" s="74">
        <v>0</v>
      </c>
      <c r="L27" s="74"/>
      <c r="M27" s="141" t="s">
        <v>11</v>
      </c>
      <c r="N27" s="135" t="s">
        <v>191</v>
      </c>
      <c r="O27" s="74"/>
      <c r="P27" s="74"/>
      <c r="Q27" s="74"/>
      <c r="R27" s="80" t="s">
        <v>210</v>
      </c>
    </row>
    <row r="28" spans="1:43" x14ac:dyDescent="0.25">
      <c r="M28" s="6"/>
    </row>
    <row r="29" spans="1:43" x14ac:dyDescent="0.25">
      <c r="M29" s="6"/>
    </row>
    <row r="30" spans="1:43" x14ac:dyDescent="0.25">
      <c r="M30" s="6"/>
    </row>
    <row r="31" spans="1:43" x14ac:dyDescent="0.25">
      <c r="M31" s="6"/>
    </row>
    <row r="32" spans="1:43" x14ac:dyDescent="0.25">
      <c r="M32" s="6"/>
    </row>
    <row r="33" spans="13:13" x14ac:dyDescent="0.25">
      <c r="M33" s="6"/>
    </row>
    <row r="34" spans="13:13" x14ac:dyDescent="0.25">
      <c r="M34" s="6"/>
    </row>
    <row r="35" spans="13:13" x14ac:dyDescent="0.25">
      <c r="M35" s="6"/>
    </row>
    <row r="36" spans="13:13" x14ac:dyDescent="0.25">
      <c r="M36" s="6"/>
    </row>
    <row r="37" spans="13:13" x14ac:dyDescent="0.25">
      <c r="M37" s="6"/>
    </row>
    <row r="38" spans="13:13" x14ac:dyDescent="0.25">
      <c r="M38" s="6"/>
    </row>
    <row r="39" spans="13:13" x14ac:dyDescent="0.25">
      <c r="M39" s="6"/>
    </row>
  </sheetData>
  <autoFilter ref="A2:AQ2" xr:uid="{12B0FDA7-F217-40FB-B894-4CE4ACB018FD}"/>
  <mergeCells count="1">
    <mergeCell ref="A1:R1"/>
  </mergeCells>
  <pageMargins left="0.25" right="0.25" top="0.75" bottom="0.75" header="0.3" footer="0.3"/>
  <pageSetup paperSize="9" scale="86" fitToHeight="0" orientation="landscape"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3D222-4796-4822-84BB-D0D9572AB424}">
  <sheetPr>
    <pageSetUpPr fitToPage="1"/>
  </sheetPr>
  <dimension ref="A1:R21"/>
  <sheetViews>
    <sheetView rightToLeft="1" tabSelected="1" topLeftCell="C1" zoomScaleNormal="100" workbookViewId="0">
      <selection activeCell="C7" sqref="C7"/>
    </sheetView>
  </sheetViews>
  <sheetFormatPr defaultColWidth="8.5703125" defaultRowHeight="14.25" x14ac:dyDescent="0.2"/>
  <cols>
    <col min="1" max="1" width="5.140625" style="9" bestFit="1" customWidth="1"/>
    <col min="2" max="2" width="27.28515625" style="9" bestFit="1" customWidth="1"/>
    <col min="3" max="3" width="22.5703125" style="9" bestFit="1" customWidth="1"/>
    <col min="4" max="4" width="12.7109375" style="9" bestFit="1" customWidth="1"/>
    <col min="5" max="5" width="18" style="9" bestFit="1" customWidth="1"/>
    <col min="6" max="6" width="9.5703125" style="10" bestFit="1" customWidth="1"/>
    <col min="7" max="7" width="19.28515625" style="9" customWidth="1"/>
    <col min="8" max="9" width="15.140625" style="15" customWidth="1"/>
    <col min="10" max="10" width="13.28515625" style="15" customWidth="1"/>
    <col min="11" max="11" width="10.28515625" style="15" customWidth="1"/>
    <col min="12" max="12" width="18.140625" style="15" bestFit="1" customWidth="1"/>
    <col min="13" max="13" width="11.28515625" style="9" bestFit="1" customWidth="1"/>
    <col min="14" max="14" width="11.7109375" style="9" customWidth="1"/>
    <col min="15" max="15" width="7.28515625" style="9" hidden="1" customWidth="1"/>
    <col min="16" max="16" width="6.28515625" style="9" hidden="1" customWidth="1"/>
    <col min="17" max="17" width="13.28515625" style="9" customWidth="1"/>
    <col min="18" max="16384" width="8.5703125" style="9"/>
  </cols>
  <sheetData>
    <row r="1" spans="1:18" ht="45" x14ac:dyDescent="0.2">
      <c r="A1" s="16" t="s">
        <v>94</v>
      </c>
      <c r="B1" s="16" t="s">
        <v>0</v>
      </c>
      <c r="C1" s="16" t="s">
        <v>95</v>
      </c>
      <c r="D1" s="16" t="s">
        <v>96</v>
      </c>
      <c r="E1" s="16" t="s">
        <v>97</v>
      </c>
      <c r="F1" s="16" t="s">
        <v>98</v>
      </c>
      <c r="G1" s="16" t="s">
        <v>99</v>
      </c>
      <c r="H1" s="16" t="s">
        <v>100</v>
      </c>
      <c r="I1" s="16" t="s">
        <v>152</v>
      </c>
      <c r="J1" s="16" t="s">
        <v>35</v>
      </c>
      <c r="K1" s="16" t="s">
        <v>155</v>
      </c>
      <c r="L1" s="16" t="s">
        <v>195</v>
      </c>
      <c r="M1" s="16" t="s">
        <v>101</v>
      </c>
      <c r="N1" s="16" t="s">
        <v>79</v>
      </c>
      <c r="O1" s="16" t="s">
        <v>102</v>
      </c>
      <c r="P1" s="16" t="s">
        <v>103</v>
      </c>
      <c r="Q1" s="151" t="s">
        <v>205</v>
      </c>
    </row>
    <row r="2" spans="1:18" ht="47.25" x14ac:dyDescent="0.2">
      <c r="A2" s="17">
        <v>1</v>
      </c>
      <c r="B2" s="18" t="s">
        <v>80</v>
      </c>
      <c r="C2" s="19" t="s">
        <v>104</v>
      </c>
      <c r="D2" s="17" t="s">
        <v>105</v>
      </c>
      <c r="E2" s="20" t="s">
        <v>106</v>
      </c>
      <c r="F2" s="17" t="s">
        <v>107</v>
      </c>
      <c r="G2" s="67" t="s">
        <v>108</v>
      </c>
      <c r="H2" s="21">
        <v>46235</v>
      </c>
      <c r="I2" s="21" t="s">
        <v>196</v>
      </c>
      <c r="J2" s="22">
        <v>50</v>
      </c>
      <c r="K2" s="23">
        <v>5</v>
      </c>
      <c r="L2" s="23"/>
      <c r="M2" s="24" t="s">
        <v>81</v>
      </c>
      <c r="N2" s="24" t="s">
        <v>80</v>
      </c>
      <c r="O2" s="24"/>
      <c r="P2" s="24"/>
      <c r="Q2" s="11" t="s">
        <v>201</v>
      </c>
    </row>
    <row r="3" spans="1:18" ht="47.25" x14ac:dyDescent="0.2">
      <c r="A3" s="17">
        <v>2</v>
      </c>
      <c r="B3" s="25" t="s">
        <v>109</v>
      </c>
      <c r="C3" s="26" t="s">
        <v>89</v>
      </c>
      <c r="D3" s="17" t="s">
        <v>110</v>
      </c>
      <c r="E3" s="20" t="s">
        <v>111</v>
      </c>
      <c r="F3" s="17" t="s">
        <v>107</v>
      </c>
      <c r="G3" s="66" t="s">
        <v>108</v>
      </c>
      <c r="H3" s="21">
        <v>46235</v>
      </c>
      <c r="I3" s="147" t="s">
        <v>197</v>
      </c>
      <c r="J3" s="22">
        <v>5</v>
      </c>
      <c r="K3" s="23">
        <v>30</v>
      </c>
      <c r="L3" s="23"/>
      <c r="M3" s="24" t="s">
        <v>82</v>
      </c>
      <c r="N3" s="24" t="s">
        <v>80</v>
      </c>
      <c r="O3" s="24"/>
      <c r="P3" s="24"/>
      <c r="Q3" s="11" t="s">
        <v>204</v>
      </c>
    </row>
    <row r="4" spans="1:18" ht="47.25" x14ac:dyDescent="0.2">
      <c r="A4" s="17">
        <v>3</v>
      </c>
      <c r="B4" s="25" t="s">
        <v>112</v>
      </c>
      <c r="C4" s="19" t="s">
        <v>113</v>
      </c>
      <c r="D4" s="17" t="s">
        <v>114</v>
      </c>
      <c r="E4" s="20" t="s">
        <v>115</v>
      </c>
      <c r="F4" s="27" t="s">
        <v>71</v>
      </c>
      <c r="G4" s="66" t="s">
        <v>108</v>
      </c>
      <c r="H4" s="21"/>
      <c r="I4" s="21"/>
      <c r="J4" s="28">
        <v>1</v>
      </c>
      <c r="K4" s="23">
        <v>0</v>
      </c>
      <c r="L4" s="23"/>
      <c r="M4" s="24" t="s">
        <v>83</v>
      </c>
      <c r="N4" s="24" t="s">
        <v>80</v>
      </c>
      <c r="O4" s="24"/>
      <c r="P4" s="24"/>
      <c r="Q4" s="11" t="s">
        <v>201</v>
      </c>
    </row>
    <row r="5" spans="1:18" ht="47.25" x14ac:dyDescent="0.2">
      <c r="A5" s="29">
        <v>4</v>
      </c>
      <c r="B5" s="30" t="s">
        <v>84</v>
      </c>
      <c r="C5" s="31" t="s">
        <v>116</v>
      </c>
      <c r="D5" s="29" t="s">
        <v>117</v>
      </c>
      <c r="E5" s="32" t="s">
        <v>115</v>
      </c>
      <c r="F5" s="33" t="s">
        <v>107</v>
      </c>
      <c r="G5" s="65" t="s">
        <v>108</v>
      </c>
      <c r="H5" s="34"/>
      <c r="I5" s="34" t="s">
        <v>153</v>
      </c>
      <c r="J5" s="112">
        <v>231</v>
      </c>
      <c r="K5" s="35">
        <v>80</v>
      </c>
      <c r="L5" s="148">
        <v>46244</v>
      </c>
      <c r="M5" s="36" t="s">
        <v>81</v>
      </c>
      <c r="N5" s="36" t="s">
        <v>84</v>
      </c>
      <c r="O5" s="36"/>
      <c r="P5" s="36"/>
      <c r="Q5" s="152" t="s">
        <v>201</v>
      </c>
      <c r="R5" s="153" t="s">
        <v>130</v>
      </c>
    </row>
    <row r="6" spans="1:18" ht="47.25" x14ac:dyDescent="0.2">
      <c r="A6" s="29">
        <v>5</v>
      </c>
      <c r="B6" s="37" t="s">
        <v>118</v>
      </c>
      <c r="C6" s="38" t="s">
        <v>119</v>
      </c>
      <c r="D6" s="29" t="s">
        <v>117</v>
      </c>
      <c r="E6" s="39" t="s">
        <v>115</v>
      </c>
      <c r="F6" s="39" t="s">
        <v>107</v>
      </c>
      <c r="G6" s="65" t="s">
        <v>108</v>
      </c>
      <c r="H6" s="40"/>
      <c r="I6" s="34" t="s">
        <v>161</v>
      </c>
      <c r="J6" s="113">
        <v>24</v>
      </c>
      <c r="K6" s="35">
        <v>24</v>
      </c>
      <c r="L6" s="149">
        <v>23537746</v>
      </c>
      <c r="M6" s="36" t="s">
        <v>83</v>
      </c>
      <c r="N6" s="36" t="s">
        <v>84</v>
      </c>
      <c r="O6" s="36"/>
      <c r="P6" s="36"/>
      <c r="Q6" s="152" t="s">
        <v>201</v>
      </c>
      <c r="R6" s="153" t="s">
        <v>130</v>
      </c>
    </row>
    <row r="7" spans="1:18" ht="63" x14ac:dyDescent="0.2">
      <c r="A7" s="41">
        <v>6</v>
      </c>
      <c r="B7" s="42" t="s">
        <v>120</v>
      </c>
      <c r="C7" s="43" t="s">
        <v>121</v>
      </c>
      <c r="D7" s="41" t="s">
        <v>117</v>
      </c>
      <c r="E7" s="44" t="s">
        <v>115</v>
      </c>
      <c r="F7" s="45" t="s">
        <v>117</v>
      </c>
      <c r="G7" s="65" t="s">
        <v>108</v>
      </c>
      <c r="H7" s="47"/>
      <c r="I7" s="47" t="s">
        <v>161</v>
      </c>
      <c r="J7" s="112">
        <v>86</v>
      </c>
      <c r="K7" s="48">
        <v>73</v>
      </c>
      <c r="L7" s="150">
        <v>46236</v>
      </c>
      <c r="M7" s="49" t="s">
        <v>83</v>
      </c>
      <c r="N7" s="49" t="s">
        <v>85</v>
      </c>
      <c r="O7" s="49"/>
      <c r="P7" s="49"/>
      <c r="Q7" s="152" t="s">
        <v>201</v>
      </c>
      <c r="R7" s="153" t="s">
        <v>130</v>
      </c>
    </row>
    <row r="8" spans="1:18" ht="47.25" x14ac:dyDescent="0.2">
      <c r="A8" s="50">
        <v>7</v>
      </c>
      <c r="B8" s="51" t="s">
        <v>154</v>
      </c>
      <c r="C8" s="52" t="s">
        <v>122</v>
      </c>
      <c r="D8" s="41" t="s">
        <v>110</v>
      </c>
      <c r="E8" s="53" t="s">
        <v>115</v>
      </c>
      <c r="F8" s="54" t="s">
        <v>117</v>
      </c>
      <c r="G8" s="65" t="s">
        <v>108</v>
      </c>
      <c r="H8" s="55"/>
      <c r="I8" s="47" t="s">
        <v>161</v>
      </c>
      <c r="J8" s="113">
        <v>116</v>
      </c>
      <c r="K8" s="48">
        <v>120</v>
      </c>
      <c r="L8" s="150">
        <v>46231</v>
      </c>
      <c r="M8" s="49" t="s">
        <v>81</v>
      </c>
      <c r="N8" s="49" t="s">
        <v>85</v>
      </c>
      <c r="O8" s="49"/>
      <c r="P8" s="49"/>
      <c r="Q8" s="152" t="s">
        <v>202</v>
      </c>
      <c r="R8" s="153" t="s">
        <v>130</v>
      </c>
    </row>
    <row r="9" spans="1:18" ht="47.25" x14ac:dyDescent="0.2">
      <c r="A9" s="50">
        <v>8</v>
      </c>
      <c r="B9" s="57" t="s">
        <v>123</v>
      </c>
      <c r="C9" s="50" t="s">
        <v>124</v>
      </c>
      <c r="D9" s="41" t="s">
        <v>117</v>
      </c>
      <c r="E9" s="58" t="s">
        <v>106</v>
      </c>
      <c r="F9" s="50" t="s">
        <v>107</v>
      </c>
      <c r="G9" s="65" t="s">
        <v>108</v>
      </c>
      <c r="H9" s="55">
        <v>46161</v>
      </c>
      <c r="I9" s="55" t="s">
        <v>179</v>
      </c>
      <c r="J9" s="56">
        <v>400</v>
      </c>
      <c r="K9" s="48">
        <v>60</v>
      </c>
      <c r="L9" s="150">
        <v>46232</v>
      </c>
      <c r="M9" s="49" t="s">
        <v>83</v>
      </c>
      <c r="N9" s="49" t="s">
        <v>85</v>
      </c>
      <c r="O9" s="49"/>
      <c r="P9" s="49"/>
      <c r="Q9" s="152" t="s">
        <v>203</v>
      </c>
      <c r="R9" s="153" t="s">
        <v>130</v>
      </c>
    </row>
    <row r="10" spans="1:18" ht="47.25" x14ac:dyDescent="0.2">
      <c r="A10" s="50">
        <v>9</v>
      </c>
      <c r="B10" s="59" t="s">
        <v>86</v>
      </c>
      <c r="C10" s="52" t="s">
        <v>125</v>
      </c>
      <c r="D10" s="53" t="s">
        <v>117</v>
      </c>
      <c r="E10" s="53" t="s">
        <v>115</v>
      </c>
      <c r="F10" s="46" t="s">
        <v>107</v>
      </c>
      <c r="G10" s="65" t="s">
        <v>108</v>
      </c>
      <c r="H10" s="55">
        <v>46161</v>
      </c>
      <c r="I10" s="55" t="s">
        <v>169</v>
      </c>
      <c r="J10" s="56">
        <v>30</v>
      </c>
      <c r="K10" s="48">
        <v>12</v>
      </c>
      <c r="L10" s="150">
        <v>46244</v>
      </c>
      <c r="M10" s="49" t="s">
        <v>81</v>
      </c>
      <c r="N10" s="49" t="s">
        <v>85</v>
      </c>
      <c r="O10" s="49"/>
      <c r="P10" s="49"/>
      <c r="Q10" s="152" t="s">
        <v>201</v>
      </c>
      <c r="R10" s="153" t="s">
        <v>130</v>
      </c>
    </row>
    <row r="11" spans="1:18" ht="47.25" x14ac:dyDescent="0.2">
      <c r="A11" s="50">
        <v>10</v>
      </c>
      <c r="B11" s="57" t="s">
        <v>126</v>
      </c>
      <c r="C11" s="50" t="s">
        <v>127</v>
      </c>
      <c r="D11" s="53" t="s">
        <v>110</v>
      </c>
      <c r="E11" s="53" t="s">
        <v>115</v>
      </c>
      <c r="F11" s="53" t="s">
        <v>107</v>
      </c>
      <c r="G11" s="65" t="s">
        <v>108</v>
      </c>
      <c r="H11" s="55" t="s">
        <v>163</v>
      </c>
      <c r="I11" s="47" t="s">
        <v>162</v>
      </c>
      <c r="J11" s="56">
        <v>6</v>
      </c>
      <c r="K11" s="48">
        <v>0</v>
      </c>
      <c r="L11" s="48"/>
      <c r="M11" s="49" t="s">
        <v>83</v>
      </c>
      <c r="N11" s="49" t="s">
        <v>85</v>
      </c>
      <c r="O11" s="49"/>
      <c r="P11" s="49"/>
      <c r="Q11" s="11" t="s">
        <v>53</v>
      </c>
    </row>
    <row r="12" spans="1:18" ht="47.25" x14ac:dyDescent="0.2">
      <c r="A12" s="60">
        <v>11</v>
      </c>
      <c r="B12" s="48" t="s">
        <v>87</v>
      </c>
      <c r="C12" s="60" t="s">
        <v>128</v>
      </c>
      <c r="D12" s="60" t="s">
        <v>110</v>
      </c>
      <c r="E12" s="60" t="s">
        <v>115</v>
      </c>
      <c r="F12" s="48" t="s">
        <v>71</v>
      </c>
      <c r="G12" s="65" t="s">
        <v>108</v>
      </c>
      <c r="H12" s="61">
        <v>46174</v>
      </c>
      <c r="I12" s="61" t="s">
        <v>167</v>
      </c>
      <c r="J12" s="60">
        <v>5</v>
      </c>
      <c r="K12" s="48">
        <v>10</v>
      </c>
      <c r="L12" s="48"/>
      <c r="M12" s="49" t="s">
        <v>83</v>
      </c>
      <c r="N12" s="49" t="s">
        <v>85</v>
      </c>
      <c r="O12" s="49"/>
      <c r="P12" s="49"/>
      <c r="Q12" s="11" t="s">
        <v>201</v>
      </c>
    </row>
    <row r="13" spans="1:18" ht="63" x14ac:dyDescent="0.2">
      <c r="A13" s="60">
        <v>12</v>
      </c>
      <c r="B13" s="48" t="s">
        <v>198</v>
      </c>
      <c r="C13" s="60"/>
      <c r="D13" s="60"/>
      <c r="E13" s="60"/>
      <c r="F13" s="48" t="s">
        <v>199</v>
      </c>
      <c r="G13" s="65" t="s">
        <v>200</v>
      </c>
      <c r="H13" s="61">
        <v>46266</v>
      </c>
      <c r="I13" s="61"/>
      <c r="J13" s="60">
        <v>7</v>
      </c>
      <c r="K13" s="48"/>
      <c r="L13" s="48"/>
      <c r="M13" s="49"/>
      <c r="N13" s="49"/>
      <c r="O13" s="49"/>
      <c r="P13" s="49"/>
      <c r="Q13" s="11" t="s">
        <v>53</v>
      </c>
    </row>
    <row r="14" spans="1:18" s="10" customFormat="1" ht="30" x14ac:dyDescent="0.25">
      <c r="A14" s="49">
        <v>13</v>
      </c>
      <c r="B14" s="109" t="s">
        <v>170</v>
      </c>
      <c r="C14" s="107" t="s">
        <v>171</v>
      </c>
      <c r="D14" s="60" t="s">
        <v>110</v>
      </c>
      <c r="E14" s="49" t="s">
        <v>115</v>
      </c>
      <c r="F14" s="49"/>
      <c r="G14" s="49"/>
      <c r="H14" s="49"/>
      <c r="I14" s="49"/>
      <c r="J14" s="49"/>
      <c r="K14" s="108"/>
      <c r="L14" s="108"/>
      <c r="M14" s="49"/>
      <c r="N14" s="49" t="s">
        <v>85</v>
      </c>
      <c r="O14" s="49"/>
      <c r="P14" s="49"/>
      <c r="Q14" s="103" t="s">
        <v>53</v>
      </c>
    </row>
    <row r="15" spans="1:18" ht="15" x14ac:dyDescent="0.2">
      <c r="A15" s="62"/>
      <c r="B15" s="62" t="s">
        <v>88</v>
      </c>
      <c r="C15" s="62"/>
      <c r="D15" s="62"/>
      <c r="E15" s="62"/>
      <c r="F15" s="62"/>
      <c r="G15" s="62"/>
      <c r="H15" s="62"/>
      <c r="I15" s="62"/>
      <c r="J15" s="63"/>
      <c r="K15" s="64">
        <f>SUM(K2:K14)</f>
        <v>414</v>
      </c>
      <c r="L15" s="64"/>
      <c r="M15" s="62"/>
      <c r="N15" s="62"/>
      <c r="O15" s="62"/>
      <c r="P15" s="62"/>
    </row>
    <row r="16" spans="1:18" ht="15" x14ac:dyDescent="0.2">
      <c r="A16" s="102"/>
      <c r="B16" s="11"/>
      <c r="C16" s="11"/>
      <c r="D16" s="11"/>
      <c r="E16" s="11" t="s">
        <v>90</v>
      </c>
      <c r="F16" s="12"/>
      <c r="G16" s="11"/>
      <c r="H16" s="13"/>
      <c r="I16" s="13"/>
      <c r="J16" s="13"/>
      <c r="K16" s="104">
        <v>363</v>
      </c>
      <c r="L16" s="104"/>
      <c r="M16" s="11"/>
      <c r="N16" s="11"/>
      <c r="O16" s="11"/>
      <c r="P16" s="11"/>
    </row>
    <row r="17" spans="2:16" ht="15" x14ac:dyDescent="0.2">
      <c r="B17" s="11"/>
      <c r="C17" s="11"/>
      <c r="D17" s="11"/>
      <c r="E17" s="11" t="s">
        <v>168</v>
      </c>
      <c r="F17" s="103"/>
      <c r="G17" s="11"/>
      <c r="H17" s="13"/>
      <c r="I17" s="13"/>
      <c r="J17" s="13"/>
      <c r="K17" s="104">
        <v>40.799999999999997</v>
      </c>
      <c r="L17" s="104"/>
      <c r="M17" s="11"/>
      <c r="N17" s="11"/>
      <c r="O17" s="11"/>
      <c r="P17" s="11"/>
    </row>
    <row r="19" spans="2:16" x14ac:dyDescent="0.2">
      <c r="H19" s="9"/>
      <c r="I19" s="9"/>
      <c r="J19" s="9"/>
      <c r="K19" s="9"/>
      <c r="L19" s="9"/>
    </row>
    <row r="20" spans="2:16" x14ac:dyDescent="0.2">
      <c r="F20" s="14"/>
      <c r="J20" s="15" t="s">
        <v>164</v>
      </c>
    </row>
    <row r="21" spans="2:16" x14ac:dyDescent="0.2">
      <c r="F21" s="14"/>
    </row>
  </sheetData>
  <pageMargins left="0.25" right="0.25" top="0.75" bottom="0.75" header="0.3" footer="0.3"/>
  <pageSetup paperSize="9" scale="39" orientation="portrait" horizontalDpi="4294967293" verticalDpi="4294967293"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גאנט תמיכות 2026</vt:lpstr>
      <vt:lpstr>גאנט מתקנים</vt:lpstr>
      <vt:lpstr>'גאנט תמיכות 2026'!Print_Area</vt:lpstr>
    </vt:vector>
  </TitlesOfParts>
  <Company>MOST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Yoav Ram</dc:creator>
  <cp:lastModifiedBy>Or Esh Bar Sela</cp:lastModifiedBy>
  <cp:lastPrinted>2026-07-12T04:46:38Z</cp:lastPrinted>
  <dcterms:created xsi:type="dcterms:W3CDTF">2025-04-03T07:38:22Z</dcterms:created>
  <dcterms:modified xsi:type="dcterms:W3CDTF">2026-08-23T10:58:43Z</dcterms:modified>
</cp:coreProperties>
</file>