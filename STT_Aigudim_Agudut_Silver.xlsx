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/>
  <mc:AlternateContent xmlns:mc="http://schemas.openxmlformats.org/markup-compatibility/2006">
    <mc:Choice Requires="x15">
      <x15ac:absPath xmlns:x15ac="http://schemas.microsoft.com/office/spreadsheetml/2010/11/ac" url="https://eladsoftwaresystems.sharepoint.com/sites/msteams_e5ead2/Shared Documents/Content/איפיונים/LLD/"/>
    </mc:Choice>
  </mc:AlternateContent>
  <xr:revisionPtr revIDLastSave="1762" documentId="13_ncr:1_{91886B92-E37B-4FB8-8FA6-87ECB7358783}" xr6:coauthVersionLast="47" xr6:coauthVersionMax="47" xr10:uidLastSave="{994BE709-4B4F-404C-8B34-0042FD369095}"/>
  <bookViews>
    <workbookView xWindow="-110" yWindow="-110" windowWidth="19420" windowHeight="11500" tabRatio="862" firstSheet="5" activeTab="21" xr2:uid="{00000000-000D-0000-FFFF-FFFF00000000}"/>
  </bookViews>
  <sheets>
    <sheet name="budget" sheetId="44" r:id="rId1"/>
    <sheet name="Facilities" sheetId="48" r:id="rId2"/>
    <sheet name="municipalities" sheetId="41" r:id="rId3"/>
    <sheet name="accounts" sheetId="35" r:id="rId4"/>
    <sheet name="new_societies" sheetId="22" r:id="rId5"/>
    <sheet name="new_branchs" sheetId="36" r:id="rId6"/>
    <sheet name="new_ageforgroups" sheetId="31" r:id="rId7"/>
    <sheet name="new_localauthorities" sheetId="17" r:id="rId8"/>
    <sheet name="new_trainers" sheetId="40" r:id="rId9"/>
    <sheet name="new_officials" sheetId="39" r:id="rId10"/>
    <sheet name="new_athletetoachievements" sheetId="38" r:id="rId11"/>
    <sheet name="new_mainbranchachievementses" sheetId="45" r:id="rId12"/>
    <sheet name="new_groupialbranchachievementse" sheetId="37" r:id="rId13"/>
    <sheet name="new_branchtoaccounts" sheetId="34" r:id="rId14"/>
    <sheet name="new_aa_leagues" sheetId="33" r:id="rId15"/>
    <sheet name="new_societyunions" sheetId="32" r:id="rId16"/>
    <sheet name="new_europehampionshipforteams" sheetId="30" r:id="rId17"/>
    <sheet name="new_teams" sheetId="29" r:id="rId18"/>
    <sheet name="new_supportrequests" sheetId="28" r:id="rId19"/>
    <sheet name="new_athletesinsupportingrequest" sheetId="27" r:id="rId20"/>
    <sheet name="new_dashboard" sheetId="49" r:id="rId21"/>
    <sheet name="new_dashboard_views" sheetId="50" r:id="rId22"/>
    <sheet name="new_supporttesttypes" sheetId="46" r:id="rId23"/>
    <sheet name="new_allocationbudgetstoareaandm" sheetId="47" r:id="rId24"/>
    <sheet name="tables list" sheetId="12" r:id="rId25"/>
    <sheet name="Lists" sheetId="2" r:id="rId26"/>
  </sheets>
  <definedNames>
    <definedName name="_xlnm._FilterDatabase" localSheetId="3" hidden="1">accounts!$A$8:$P$25</definedName>
    <definedName name="_xlnm._FilterDatabase" localSheetId="1" hidden="1">Facilities!$A$8:$P$42</definedName>
    <definedName name="_xlnm._FilterDatabase" localSheetId="2" hidden="1">municipalities!$A$8:$P$44</definedName>
    <definedName name="_xlnm._FilterDatabase" localSheetId="14" hidden="1">new_aa_leagues!$A$8:$P$19</definedName>
    <definedName name="_xlnm._FilterDatabase" localSheetId="6" hidden="1">new_ageforgroups!$A$8:$P$21</definedName>
    <definedName name="_xlnm._FilterDatabase" localSheetId="23" hidden="1">new_allocationbudgetstoareaandm!$A$8:$P$24</definedName>
    <definedName name="_xlnm._FilterDatabase" localSheetId="19" hidden="1">new_athletesinsupportingrequest!$A$8:$P$32</definedName>
    <definedName name="_xlnm._FilterDatabase" localSheetId="10" hidden="1">new_athletetoachievements!$A$8:$P$23</definedName>
    <definedName name="_xlnm._FilterDatabase" localSheetId="5" hidden="1">new_branchs!$A$8:$P$28</definedName>
    <definedName name="_xlnm._FilterDatabase" localSheetId="13" hidden="1">new_branchtoaccounts!$A$8:$P$22</definedName>
    <definedName name="_xlnm._FilterDatabase" localSheetId="20" hidden="1">new_dashboard!$A$8:$P$32</definedName>
    <definedName name="_xlnm._FilterDatabase" localSheetId="21" hidden="1">new_dashboard_views!$A$8:$P$32</definedName>
    <definedName name="_xlnm._FilterDatabase" localSheetId="16" hidden="1">new_europehampionshipforteams!$A$8:$P$25</definedName>
    <definedName name="_xlnm._FilterDatabase" localSheetId="12" hidden="1">new_groupialbranchachievementse!$A$8:$P$27</definedName>
    <definedName name="_xlnm._FilterDatabase" localSheetId="7" hidden="1">new_localauthorities!$A$8:$P$19</definedName>
    <definedName name="_xlnm._FilterDatabase" localSheetId="11" hidden="1">new_mainbranchachievementses!$A$8:$P$28</definedName>
    <definedName name="_xlnm._FilterDatabase" localSheetId="9" hidden="1">new_officials!$A$8:$P$25</definedName>
    <definedName name="_xlnm._FilterDatabase" localSheetId="4" hidden="1">new_societies!$A$8:$M$18</definedName>
    <definedName name="_xlnm._FilterDatabase" localSheetId="15" hidden="1">new_societyunions!$A$8:$P$24</definedName>
    <definedName name="_xlnm._FilterDatabase" localSheetId="18" hidden="1">new_supportrequests!$A$8:$P$39</definedName>
    <definedName name="_xlnm._FilterDatabase" localSheetId="22" hidden="1">new_supporttesttypes!$A$8:$P$20</definedName>
    <definedName name="_xlnm._FilterDatabase" localSheetId="17" hidden="1">new_teams!$A$8:$P$28</definedName>
    <definedName name="_xlnm._FilterDatabase" localSheetId="8" hidden="1">new_trainers!$A$8:$P$27</definedName>
    <definedName name="Categories">Lists!$A$10:$A$13</definedName>
    <definedName name="Data_Types">Lists!$A$39:$A$49</definedName>
    <definedName name="ETL_Statuses">Lists!$A$28:$A$31</definedName>
    <definedName name="Issues_List" localSheetId="3">accounts!#REF!</definedName>
    <definedName name="Issues_List" localSheetId="1">Facilities!#REF!</definedName>
    <definedName name="Issues_List" localSheetId="2">municipalities!#REF!</definedName>
    <definedName name="Issues_List" localSheetId="14">new_aa_leagues!#REF!</definedName>
    <definedName name="Issues_List" localSheetId="6">new_ageforgroups!#REF!</definedName>
    <definedName name="Issues_List" localSheetId="23">new_allocationbudgetstoareaandm!#REF!</definedName>
    <definedName name="Issues_List" localSheetId="19">new_athletesinsupportingrequest!#REF!</definedName>
    <definedName name="Issues_List" localSheetId="10">new_athletetoachievements!#REF!</definedName>
    <definedName name="Issues_List" localSheetId="5">new_branchs!#REF!</definedName>
    <definedName name="Issues_List" localSheetId="13">new_branchtoaccounts!#REF!</definedName>
    <definedName name="Issues_List" localSheetId="20">new_dashboard!#REF!</definedName>
    <definedName name="Issues_List" localSheetId="21">new_dashboard_views!#REF!</definedName>
    <definedName name="Issues_List" localSheetId="16">new_europehampionshipforteams!#REF!</definedName>
    <definedName name="Issues_List" localSheetId="12">new_groupialbranchachievementse!#REF!</definedName>
    <definedName name="Issues_List" localSheetId="7">new_localauthorities!#REF!</definedName>
    <definedName name="Issues_List" localSheetId="11">new_mainbranchachievementses!#REF!</definedName>
    <definedName name="Issues_List" localSheetId="9">new_officials!#REF!</definedName>
    <definedName name="Issues_List" localSheetId="4">new_societies!#REF!</definedName>
    <definedName name="Issues_List" localSheetId="15">new_societyunions!#REF!</definedName>
    <definedName name="Issues_List" localSheetId="18">new_supportrequests!#REF!</definedName>
    <definedName name="Issues_List" localSheetId="22">new_supporttesttypes!#REF!</definedName>
    <definedName name="Issues_List" localSheetId="17">new_teams!#REF!</definedName>
    <definedName name="Issues_List" localSheetId="8">new_trainers!#REF!</definedName>
    <definedName name="Issues_List">#REF!</definedName>
    <definedName name="Sources">Lists!$A$2:$A$7</definedName>
    <definedName name="Statuses">Lists!$A$34:$A$36</definedName>
    <definedName name="STT_Statuses">Lists!$A$21:$A$25</definedName>
    <definedName name="Versions">Lists!$A$16:$A$18</definedName>
    <definedName name="Z_3877CD48_FFF2_4293_9956_912F099C7B95_.wvu.FilterData" localSheetId="3" hidden="1">accounts!$A$8:$P$25</definedName>
    <definedName name="Z_3877CD48_FFF2_4293_9956_912F099C7B95_.wvu.FilterData" localSheetId="1" hidden="1">Facilities!$A$8:$P$42</definedName>
    <definedName name="Z_3877CD48_FFF2_4293_9956_912F099C7B95_.wvu.FilterData" localSheetId="2" hidden="1">municipalities!$A$8:$P$44</definedName>
    <definedName name="Z_3877CD48_FFF2_4293_9956_912F099C7B95_.wvu.FilterData" localSheetId="14" hidden="1">new_aa_leagues!$A$8:$P$19</definedName>
    <definedName name="Z_3877CD48_FFF2_4293_9956_912F099C7B95_.wvu.FilterData" localSheetId="6" hidden="1">new_ageforgroups!$A$8:$P$21</definedName>
    <definedName name="Z_3877CD48_FFF2_4293_9956_912F099C7B95_.wvu.FilterData" localSheetId="23" hidden="1">new_allocationbudgetstoareaandm!$A$8:$P$24</definedName>
    <definedName name="Z_3877CD48_FFF2_4293_9956_912F099C7B95_.wvu.FilterData" localSheetId="19" hidden="1">new_athletesinsupportingrequest!$A$8:$P$32</definedName>
    <definedName name="Z_3877CD48_FFF2_4293_9956_912F099C7B95_.wvu.FilterData" localSheetId="10" hidden="1">new_athletetoachievements!$A$8:$P$23</definedName>
    <definedName name="Z_3877CD48_FFF2_4293_9956_912F099C7B95_.wvu.FilterData" localSheetId="5" hidden="1">new_branchs!$A$8:$P$28</definedName>
    <definedName name="Z_3877CD48_FFF2_4293_9956_912F099C7B95_.wvu.FilterData" localSheetId="13" hidden="1">new_branchtoaccounts!$A$8:$P$22</definedName>
    <definedName name="Z_3877CD48_FFF2_4293_9956_912F099C7B95_.wvu.FilterData" localSheetId="20" hidden="1">new_dashboard!$A$8:$P$32</definedName>
    <definedName name="Z_3877CD48_FFF2_4293_9956_912F099C7B95_.wvu.FilterData" localSheetId="21" hidden="1">new_dashboard_views!$A$8:$P$32</definedName>
    <definedName name="Z_3877CD48_FFF2_4293_9956_912F099C7B95_.wvu.FilterData" localSheetId="16" hidden="1">new_europehampionshipforteams!$A$8:$P$25</definedName>
    <definedName name="Z_3877CD48_FFF2_4293_9956_912F099C7B95_.wvu.FilterData" localSheetId="12" hidden="1">new_groupialbranchachievementse!$A$8:$P$27</definedName>
    <definedName name="Z_3877CD48_FFF2_4293_9956_912F099C7B95_.wvu.FilterData" localSheetId="7" hidden="1">new_localauthorities!$A$8:$P$19</definedName>
    <definedName name="Z_3877CD48_FFF2_4293_9956_912F099C7B95_.wvu.FilterData" localSheetId="11" hidden="1">new_mainbranchachievementses!$A$8:$P$28</definedName>
    <definedName name="Z_3877CD48_FFF2_4293_9956_912F099C7B95_.wvu.FilterData" localSheetId="9" hidden="1">new_officials!$A$8:$P$25</definedName>
    <definedName name="Z_3877CD48_FFF2_4293_9956_912F099C7B95_.wvu.FilterData" localSheetId="4" hidden="1">new_societies!$A$8:$M$18</definedName>
    <definedName name="Z_3877CD48_FFF2_4293_9956_912F099C7B95_.wvu.FilterData" localSheetId="15" hidden="1">new_societyunions!$A$8:$P$24</definedName>
    <definedName name="Z_3877CD48_FFF2_4293_9956_912F099C7B95_.wvu.FilterData" localSheetId="18" hidden="1">new_supportrequests!$A$8:$P$39</definedName>
    <definedName name="Z_3877CD48_FFF2_4293_9956_912F099C7B95_.wvu.FilterData" localSheetId="22" hidden="1">new_supporttesttypes!$A$8:$P$20</definedName>
    <definedName name="Z_3877CD48_FFF2_4293_9956_912F099C7B95_.wvu.FilterData" localSheetId="17" hidden="1">new_teams!$A$8:$P$28</definedName>
    <definedName name="Z_3877CD48_FFF2_4293_9956_912F099C7B95_.wvu.FilterData" localSheetId="8" hidden="1">new_trainers!$A$8:$P$27</definedName>
  </definedNames>
  <calcPr calcId="191028"/>
  <customWorkbookViews>
    <customWorkbookView name="Filter 1" guid="{3877CD48-FFF2-4293-9956-912F099C7B95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7" roundtripDataChecksum="gvfLs0lrlKBzcLnshPLlaeIreyswrP/e3o9IVjmeRGQ="/>
    </ext>
  </extLst>
</workbook>
</file>

<file path=xl/calcChain.xml><?xml version="1.0" encoding="utf-8"?>
<calcChain xmlns="http://schemas.openxmlformats.org/spreadsheetml/2006/main">
  <c r="R32" i="50" l="1"/>
  <c r="Q32" i="50"/>
  <c r="R31" i="50"/>
  <c r="Q31" i="50"/>
  <c r="R30" i="50"/>
  <c r="Q30" i="50"/>
  <c r="R29" i="50"/>
  <c r="Q29" i="50"/>
  <c r="R28" i="50"/>
  <c r="Q28" i="50"/>
  <c r="R27" i="50"/>
  <c r="Q27" i="50"/>
  <c r="R26" i="50"/>
  <c r="Q26" i="50"/>
  <c r="R25" i="50"/>
  <c r="Q25" i="50"/>
  <c r="R24" i="50"/>
  <c r="Q24" i="50"/>
  <c r="R23" i="50"/>
  <c r="Q23" i="50"/>
  <c r="R22" i="50"/>
  <c r="Q22" i="50"/>
  <c r="R21" i="50"/>
  <c r="Q21" i="50"/>
  <c r="R20" i="50"/>
  <c r="Q20" i="50"/>
  <c r="R19" i="50"/>
  <c r="Q19" i="50"/>
  <c r="R18" i="50"/>
  <c r="Q18" i="50"/>
  <c r="R17" i="50"/>
  <c r="Q17" i="50"/>
  <c r="R16" i="50"/>
  <c r="Q16" i="50"/>
  <c r="R15" i="50"/>
  <c r="Q15" i="50"/>
  <c r="R14" i="50"/>
  <c r="Q14" i="50"/>
  <c r="R13" i="50"/>
  <c r="Q13" i="50"/>
  <c r="R12" i="50"/>
  <c r="Q12" i="50"/>
  <c r="R11" i="50"/>
  <c r="Q11" i="50"/>
  <c r="R10" i="50"/>
  <c r="Q10" i="50"/>
  <c r="R9" i="50"/>
  <c r="Q9" i="50"/>
  <c r="R8" i="50"/>
  <c r="Q8" i="50"/>
  <c r="C2" i="50"/>
  <c r="R32" i="49"/>
  <c r="Q32" i="49"/>
  <c r="R31" i="49"/>
  <c r="Q31" i="49"/>
  <c r="R30" i="49"/>
  <c r="Q30" i="49"/>
  <c r="R29" i="49"/>
  <c r="Q29" i="49"/>
  <c r="R28" i="49"/>
  <c r="Q28" i="49"/>
  <c r="R27" i="49"/>
  <c r="Q27" i="49"/>
  <c r="R26" i="49"/>
  <c r="Q26" i="49"/>
  <c r="R25" i="49"/>
  <c r="Q25" i="49"/>
  <c r="R24" i="49"/>
  <c r="Q24" i="49"/>
  <c r="R23" i="49"/>
  <c r="Q23" i="49"/>
  <c r="R22" i="49"/>
  <c r="Q22" i="49"/>
  <c r="R21" i="49"/>
  <c r="Q21" i="49"/>
  <c r="R20" i="49"/>
  <c r="Q20" i="49"/>
  <c r="R19" i="49"/>
  <c r="Q19" i="49"/>
  <c r="R18" i="49"/>
  <c r="Q18" i="49"/>
  <c r="R17" i="49"/>
  <c r="Q17" i="49"/>
  <c r="R16" i="49"/>
  <c r="Q16" i="49"/>
  <c r="R15" i="49"/>
  <c r="Q15" i="49"/>
  <c r="R14" i="49"/>
  <c r="Q14" i="49"/>
  <c r="R13" i="49"/>
  <c r="Q13" i="49"/>
  <c r="R12" i="49"/>
  <c r="Q12" i="49"/>
  <c r="R11" i="49"/>
  <c r="Q11" i="49"/>
  <c r="R10" i="49"/>
  <c r="Q10" i="49"/>
  <c r="R9" i="49"/>
  <c r="Q9" i="49"/>
  <c r="R8" i="49"/>
  <c r="Q8" i="49"/>
  <c r="C2" i="49"/>
  <c r="Q42" i="48"/>
  <c r="R42" i="48"/>
  <c r="Q9" i="48"/>
  <c r="R9" i="48"/>
  <c r="R41" i="48"/>
  <c r="Q41" i="48"/>
  <c r="R40" i="48"/>
  <c r="Q40" i="48"/>
  <c r="R39" i="48"/>
  <c r="Q39" i="48"/>
  <c r="R38" i="48"/>
  <c r="Q38" i="48"/>
  <c r="R37" i="48"/>
  <c r="Q37" i="48"/>
  <c r="R36" i="48"/>
  <c r="Q36" i="48"/>
  <c r="R35" i="48"/>
  <c r="Q35" i="48"/>
  <c r="R34" i="48"/>
  <c r="Q34" i="48"/>
  <c r="R33" i="48"/>
  <c r="Q33" i="48"/>
  <c r="R32" i="48"/>
  <c r="Q32" i="48"/>
  <c r="R31" i="48"/>
  <c r="Q31" i="48"/>
  <c r="R30" i="48"/>
  <c r="Q30" i="48"/>
  <c r="R29" i="48"/>
  <c r="Q29" i="48"/>
  <c r="R28" i="48"/>
  <c r="Q28" i="48"/>
  <c r="R27" i="48"/>
  <c r="Q27" i="48"/>
  <c r="R26" i="48"/>
  <c r="Q26" i="48"/>
  <c r="R25" i="48"/>
  <c r="Q25" i="48"/>
  <c r="R24" i="48"/>
  <c r="Q24" i="48"/>
  <c r="R23" i="48"/>
  <c r="Q23" i="48"/>
  <c r="R22" i="48"/>
  <c r="Q22" i="48"/>
  <c r="R21" i="48"/>
  <c r="Q21" i="48"/>
  <c r="R20" i="48"/>
  <c r="Q20" i="48"/>
  <c r="R19" i="48"/>
  <c r="Q19" i="48"/>
  <c r="R18" i="48"/>
  <c r="Q18" i="48"/>
  <c r="R17" i="48"/>
  <c r="Q17" i="48"/>
  <c r="R16" i="48"/>
  <c r="Q16" i="48"/>
  <c r="R15" i="48"/>
  <c r="Q15" i="48"/>
  <c r="R14" i="48"/>
  <c r="Q14" i="48"/>
  <c r="R13" i="48"/>
  <c r="Q13" i="48"/>
  <c r="R12" i="48"/>
  <c r="Q12" i="48"/>
  <c r="R11" i="48"/>
  <c r="Q11" i="48"/>
  <c r="R10" i="48"/>
  <c r="Q10" i="48"/>
  <c r="R8" i="48"/>
  <c r="Q8" i="48"/>
  <c r="C2" i="48"/>
  <c r="R25" i="28"/>
  <c r="Q22" i="36"/>
  <c r="R10" i="36"/>
  <c r="R11" i="36"/>
  <c r="R12" i="36"/>
  <c r="R13" i="36"/>
  <c r="R14" i="36"/>
  <c r="R15" i="36"/>
  <c r="R16" i="36"/>
  <c r="R17" i="36"/>
  <c r="R18" i="36"/>
  <c r="R19" i="36"/>
  <c r="R20" i="36"/>
  <c r="R21" i="36"/>
  <c r="R22" i="36"/>
  <c r="R23" i="36"/>
  <c r="R24" i="36"/>
  <c r="R25" i="36"/>
  <c r="R26" i="36"/>
  <c r="R27" i="36"/>
  <c r="R28" i="36"/>
  <c r="R29" i="36"/>
  <c r="Q10" i="36"/>
  <c r="Q11" i="36"/>
  <c r="Q12" i="36"/>
  <c r="Q13" i="36"/>
  <c r="Q14" i="36"/>
  <c r="Q15" i="36"/>
  <c r="Q16" i="36"/>
  <c r="Q17" i="36"/>
  <c r="Q18" i="36"/>
  <c r="Q19" i="36"/>
  <c r="Q20" i="36"/>
  <c r="Q21" i="36"/>
  <c r="Q23" i="36"/>
  <c r="Q24" i="36"/>
  <c r="Q25" i="36"/>
  <c r="Q26" i="36"/>
  <c r="Q27" i="36"/>
  <c r="Q28" i="36"/>
  <c r="Q29" i="36"/>
  <c r="R10" i="29"/>
  <c r="R11" i="29"/>
  <c r="R12" i="29"/>
  <c r="R13" i="29"/>
  <c r="R14" i="29"/>
  <c r="R15" i="29"/>
  <c r="R16" i="29"/>
  <c r="R17" i="29"/>
  <c r="R18" i="29"/>
  <c r="R19" i="29"/>
  <c r="R20" i="29"/>
  <c r="R21" i="29"/>
  <c r="R22" i="29"/>
  <c r="R23" i="29"/>
  <c r="R24" i="29"/>
  <c r="R25" i="29"/>
  <c r="R26" i="29"/>
  <c r="R27" i="29"/>
  <c r="R28" i="29"/>
  <c r="Q10" i="29"/>
  <c r="Q11" i="29"/>
  <c r="Q12" i="29"/>
  <c r="Q13" i="29"/>
  <c r="Q14" i="29"/>
  <c r="Q15" i="29"/>
  <c r="Q16" i="29"/>
  <c r="Q17" i="29"/>
  <c r="Q18" i="29"/>
  <c r="Q19" i="29"/>
  <c r="Q20" i="29"/>
  <c r="Q21" i="29"/>
  <c r="Q22" i="29"/>
  <c r="Q23" i="29"/>
  <c r="Q24" i="29"/>
  <c r="Q25" i="29"/>
  <c r="Q26" i="29"/>
  <c r="Q27" i="29"/>
  <c r="Q28" i="29"/>
  <c r="Q10" i="47"/>
  <c r="Q11" i="47"/>
  <c r="Q12" i="47"/>
  <c r="Q13" i="47"/>
  <c r="Q14" i="47"/>
  <c r="Q15" i="47"/>
  <c r="Q16" i="47"/>
  <c r="Q17" i="47"/>
  <c r="Q18" i="47"/>
  <c r="Q19" i="47"/>
  <c r="Q20" i="47"/>
  <c r="Q21" i="47"/>
  <c r="Q22" i="47"/>
  <c r="Q23" i="47"/>
  <c r="Q24" i="47"/>
  <c r="Q9" i="47"/>
  <c r="R9" i="47"/>
  <c r="Q9" i="46"/>
  <c r="R15" i="45"/>
  <c r="Q14" i="45"/>
  <c r="Q15" i="45"/>
  <c r="R24" i="47"/>
  <c r="R23" i="47"/>
  <c r="R22" i="47"/>
  <c r="R21" i="47"/>
  <c r="R20" i="47"/>
  <c r="R19" i="47"/>
  <c r="R18" i="47"/>
  <c r="R17" i="47"/>
  <c r="R16" i="47"/>
  <c r="R15" i="47"/>
  <c r="R14" i="47"/>
  <c r="R13" i="47"/>
  <c r="R12" i="47"/>
  <c r="R11" i="47"/>
  <c r="R10" i="47"/>
  <c r="R8" i="47"/>
  <c r="Q8" i="47"/>
  <c r="C2" i="47"/>
  <c r="R20" i="46"/>
  <c r="Q20" i="46"/>
  <c r="R19" i="46"/>
  <c r="Q19" i="46"/>
  <c r="R18" i="46"/>
  <c r="Q18" i="46"/>
  <c r="R17" i="46"/>
  <c r="Q17" i="46"/>
  <c r="R16" i="46"/>
  <c r="Q16" i="46"/>
  <c r="R15" i="46"/>
  <c r="Q15" i="46"/>
  <c r="R13" i="46"/>
  <c r="Q13" i="46"/>
  <c r="R12" i="46"/>
  <c r="Q12" i="46"/>
  <c r="R11" i="46"/>
  <c r="Q11" i="46"/>
  <c r="R10" i="46"/>
  <c r="Q10" i="46"/>
  <c r="R9" i="46"/>
  <c r="R8" i="46"/>
  <c r="Q8" i="46"/>
  <c r="C2" i="46"/>
  <c r="R10" i="45"/>
  <c r="R11" i="45"/>
  <c r="R12" i="45"/>
  <c r="R13" i="45"/>
  <c r="R14" i="45"/>
  <c r="R16" i="45"/>
  <c r="R17" i="45"/>
  <c r="R18" i="45"/>
  <c r="R19" i="45"/>
  <c r="R20" i="45"/>
  <c r="R21" i="45"/>
  <c r="R22" i="45"/>
  <c r="R23" i="45"/>
  <c r="R24" i="45"/>
  <c r="R25" i="45"/>
  <c r="R26" i="45"/>
  <c r="R27" i="45"/>
  <c r="R28" i="45"/>
  <c r="Q10" i="45"/>
  <c r="Q11" i="45"/>
  <c r="Q12" i="45"/>
  <c r="Q13" i="45"/>
  <c r="Q16" i="45"/>
  <c r="Q17" i="45"/>
  <c r="Q18" i="45"/>
  <c r="Q19" i="45"/>
  <c r="Q20" i="45"/>
  <c r="Q21" i="45"/>
  <c r="Q22" i="45"/>
  <c r="Q23" i="45"/>
  <c r="Q24" i="45"/>
  <c r="Q25" i="45"/>
  <c r="Q26" i="45"/>
  <c r="Q27" i="45"/>
  <c r="R10" i="37"/>
  <c r="R11" i="37"/>
  <c r="R12" i="37"/>
  <c r="R13" i="37"/>
  <c r="R14" i="37"/>
  <c r="R15" i="37"/>
  <c r="R16" i="37"/>
  <c r="R17" i="37"/>
  <c r="R18" i="37"/>
  <c r="R19" i="37"/>
  <c r="R20" i="37"/>
  <c r="R21" i="37"/>
  <c r="R22" i="37"/>
  <c r="R23" i="37"/>
  <c r="R24" i="37"/>
  <c r="R25" i="37"/>
  <c r="R26" i="37"/>
  <c r="Q10" i="37"/>
  <c r="Q11" i="37"/>
  <c r="Q12" i="37"/>
  <c r="Q13" i="37"/>
  <c r="Q14" i="37"/>
  <c r="Q15" i="37"/>
  <c r="Q16" i="37"/>
  <c r="Q17" i="37"/>
  <c r="Q18" i="37"/>
  <c r="Q19" i="37"/>
  <c r="Q20" i="37"/>
  <c r="Q21" i="37"/>
  <c r="Q22" i="37"/>
  <c r="Q23" i="37"/>
  <c r="Q24" i="37"/>
  <c r="Q25" i="37"/>
  <c r="Q26" i="37"/>
  <c r="R18" i="38"/>
  <c r="Q18" i="38"/>
  <c r="R29" i="45" l="1"/>
  <c r="Q29" i="45"/>
  <c r="Q28" i="45"/>
  <c r="R9" i="45"/>
  <c r="Q9" i="45"/>
  <c r="R8" i="45"/>
  <c r="Q8" i="45"/>
  <c r="C2" i="45"/>
  <c r="R20" i="39"/>
  <c r="Q20" i="39"/>
  <c r="R22" i="40"/>
  <c r="R23" i="40"/>
  <c r="Q22" i="40"/>
  <c r="Q23" i="40"/>
  <c r="Q24" i="40"/>
  <c r="R19" i="40"/>
  <c r="Q19" i="40"/>
  <c r="R21" i="28"/>
  <c r="Q21" i="28"/>
  <c r="R10" i="41" l="1"/>
  <c r="R11" i="41"/>
  <c r="R12" i="41"/>
  <c r="R13" i="41"/>
  <c r="R14" i="41"/>
  <c r="R15" i="41"/>
  <c r="R16" i="41"/>
  <c r="R17" i="41"/>
  <c r="R18" i="41"/>
  <c r="R19" i="41"/>
  <c r="R20" i="41"/>
  <c r="R21" i="41"/>
  <c r="R22" i="41"/>
  <c r="R23" i="41"/>
  <c r="R24" i="41"/>
  <c r="R25" i="41"/>
  <c r="R26" i="41"/>
  <c r="R27" i="41"/>
  <c r="R28" i="41"/>
  <c r="R29" i="41"/>
  <c r="R30" i="41"/>
  <c r="R31" i="41"/>
  <c r="R32" i="41"/>
  <c r="R33" i="41"/>
  <c r="R34" i="41"/>
  <c r="R35" i="41"/>
  <c r="R36" i="41"/>
  <c r="R37" i="41"/>
  <c r="R38" i="41"/>
  <c r="R39" i="41"/>
  <c r="R40" i="41"/>
  <c r="R41" i="41"/>
  <c r="R42" i="41"/>
  <c r="R43" i="41"/>
  <c r="Q10" i="41"/>
  <c r="Q11" i="41"/>
  <c r="Q12" i="41"/>
  <c r="Q13" i="41"/>
  <c r="Q14" i="41"/>
  <c r="Q15" i="41"/>
  <c r="Q16" i="41"/>
  <c r="Q17" i="41"/>
  <c r="Q18" i="41"/>
  <c r="Q19" i="41"/>
  <c r="Q20" i="41"/>
  <c r="Q21" i="41"/>
  <c r="Q22" i="41"/>
  <c r="Q23" i="41"/>
  <c r="Q24" i="41"/>
  <c r="Q25" i="41"/>
  <c r="Q26" i="41"/>
  <c r="Q27" i="41"/>
  <c r="Q28" i="41"/>
  <c r="Q29" i="41"/>
  <c r="Q30" i="41"/>
  <c r="Q31" i="41"/>
  <c r="Q32" i="41"/>
  <c r="Q33" i="41"/>
  <c r="Q34" i="41"/>
  <c r="Q35" i="41"/>
  <c r="Q36" i="41"/>
  <c r="Q37" i="41"/>
  <c r="Q38" i="41"/>
  <c r="Q39" i="41"/>
  <c r="Q40" i="41"/>
  <c r="R44" i="41"/>
  <c r="Q44" i="41"/>
  <c r="Q43" i="41"/>
  <c r="Q42" i="41"/>
  <c r="Q41" i="41"/>
  <c r="R9" i="41"/>
  <c r="Q9" i="41"/>
  <c r="R8" i="41"/>
  <c r="Q8" i="41"/>
  <c r="C2" i="41"/>
  <c r="R14" i="40"/>
  <c r="Q14" i="40"/>
  <c r="R23" i="27"/>
  <c r="Q23" i="27"/>
  <c r="R24" i="27"/>
  <c r="R25" i="27"/>
  <c r="R26" i="27"/>
  <c r="Q25" i="27"/>
  <c r="Q26" i="27"/>
  <c r="Q24" i="27"/>
  <c r="R10" i="27"/>
  <c r="R11" i="27"/>
  <c r="R12" i="27"/>
  <c r="R13" i="27"/>
  <c r="R14" i="27"/>
  <c r="R15" i="27"/>
  <c r="R16" i="27"/>
  <c r="R17" i="27"/>
  <c r="R18" i="27"/>
  <c r="R19" i="27"/>
  <c r="R20" i="27"/>
  <c r="R21" i="27"/>
  <c r="R22" i="27"/>
  <c r="R27" i="27"/>
  <c r="R28" i="27"/>
  <c r="R29" i="27"/>
  <c r="R30" i="27"/>
  <c r="R31" i="27"/>
  <c r="Q10" i="27"/>
  <c r="Q11" i="27"/>
  <c r="Q12" i="27"/>
  <c r="Q13" i="27"/>
  <c r="Q14" i="27"/>
  <c r="Q15" i="27"/>
  <c r="Q16" i="27"/>
  <c r="Q17" i="27"/>
  <c r="Q18" i="27"/>
  <c r="Q19" i="27"/>
  <c r="Q20" i="27"/>
  <c r="Q21" i="27"/>
  <c r="Q22" i="27"/>
  <c r="Q27" i="27"/>
  <c r="Q28" i="27"/>
  <c r="Q29" i="27"/>
  <c r="Q30" i="27"/>
  <c r="Q31" i="27"/>
  <c r="Q9" i="28"/>
  <c r="R10" i="28"/>
  <c r="R11" i="28"/>
  <c r="R12" i="28"/>
  <c r="R13" i="28"/>
  <c r="R14" i="28"/>
  <c r="R15" i="28"/>
  <c r="R16" i="28"/>
  <c r="R17" i="28"/>
  <c r="R18" i="28"/>
  <c r="R19" i="28"/>
  <c r="R20" i="28"/>
  <c r="R22" i="28"/>
  <c r="R23" i="28"/>
  <c r="R24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8" i="28"/>
  <c r="R39" i="28"/>
  <c r="Q10" i="28"/>
  <c r="Q11" i="28"/>
  <c r="Q12" i="28"/>
  <c r="Q13" i="28"/>
  <c r="Q14" i="28"/>
  <c r="Q15" i="28"/>
  <c r="Q16" i="28"/>
  <c r="Q17" i="28"/>
  <c r="Q18" i="28"/>
  <c r="Q19" i="28"/>
  <c r="Q20" i="28"/>
  <c r="Q22" i="28"/>
  <c r="Q23" i="28"/>
  <c r="Q24" i="28"/>
  <c r="Q25" i="28"/>
  <c r="Q26" i="28"/>
  <c r="Q27" i="28"/>
  <c r="Q28" i="28"/>
  <c r="Q29" i="28"/>
  <c r="Q30" i="28"/>
  <c r="Q31" i="28"/>
  <c r="Q32" i="28"/>
  <c r="Q33" i="28"/>
  <c r="Q34" i="28"/>
  <c r="Q35" i="28"/>
  <c r="Q36" i="28"/>
  <c r="Q37" i="28"/>
  <c r="Q38" i="28"/>
  <c r="Q9" i="38"/>
  <c r="R10" i="39"/>
  <c r="R11" i="39"/>
  <c r="R12" i="39"/>
  <c r="R13" i="39"/>
  <c r="R14" i="39"/>
  <c r="R15" i="39"/>
  <c r="R16" i="39"/>
  <c r="R17" i="39"/>
  <c r="R18" i="39"/>
  <c r="R19" i="39"/>
  <c r="R9" i="39"/>
  <c r="R21" i="39" l="1"/>
  <c r="Q10" i="39"/>
  <c r="Q11" i="39"/>
  <c r="Q12" i="39"/>
  <c r="Q13" i="39"/>
  <c r="Q14" i="39"/>
  <c r="Q15" i="39"/>
  <c r="Q16" i="39"/>
  <c r="Q17" i="39"/>
  <c r="Q18" i="39"/>
  <c r="Q19" i="39"/>
  <c r="Q21" i="39"/>
  <c r="Q22" i="39"/>
  <c r="Q10" i="38"/>
  <c r="Q11" i="38"/>
  <c r="Q12" i="38"/>
  <c r="Q13" i="38"/>
  <c r="Q14" i="38"/>
  <c r="Q15" i="38"/>
  <c r="Q16" i="38"/>
  <c r="Q17" i="38"/>
  <c r="Q19" i="38"/>
  <c r="Q20" i="38"/>
  <c r="Q21" i="38"/>
  <c r="R10" i="34"/>
  <c r="R11" i="34"/>
  <c r="R12" i="34"/>
  <c r="R13" i="34"/>
  <c r="R14" i="34"/>
  <c r="R15" i="34"/>
  <c r="R16" i="34"/>
  <c r="R17" i="34"/>
  <c r="R18" i="34"/>
  <c r="R19" i="34"/>
  <c r="R20" i="34"/>
  <c r="R21" i="34"/>
  <c r="Q10" i="34"/>
  <c r="Q11" i="34"/>
  <c r="Q12" i="34"/>
  <c r="Q13" i="34"/>
  <c r="Q14" i="34"/>
  <c r="Q15" i="34"/>
  <c r="Q16" i="34"/>
  <c r="Q17" i="34"/>
  <c r="Q18" i="34"/>
  <c r="Q19" i="34"/>
  <c r="Q20" i="34"/>
  <c r="Q21" i="34"/>
  <c r="R10" i="33"/>
  <c r="R11" i="33"/>
  <c r="R12" i="33"/>
  <c r="R13" i="33"/>
  <c r="R14" i="33"/>
  <c r="R15" i="33"/>
  <c r="Q10" i="33"/>
  <c r="Q11" i="33"/>
  <c r="Q12" i="33"/>
  <c r="Q13" i="33"/>
  <c r="Q14" i="33"/>
  <c r="Q15" i="33"/>
  <c r="R10" i="32"/>
  <c r="R11" i="32"/>
  <c r="R12" i="32"/>
  <c r="R13" i="32"/>
  <c r="R14" i="32"/>
  <c r="R15" i="32"/>
  <c r="R16" i="32"/>
  <c r="R17" i="32"/>
  <c r="R18" i="32"/>
  <c r="R19" i="32"/>
  <c r="R20" i="32"/>
  <c r="R21" i="32"/>
  <c r="R22" i="32"/>
  <c r="R23" i="32"/>
  <c r="R24" i="32"/>
  <c r="R9" i="32"/>
  <c r="Q10" i="32"/>
  <c r="Q11" i="32"/>
  <c r="Q12" i="32"/>
  <c r="Q13" i="32"/>
  <c r="Q14" i="32"/>
  <c r="Q15" i="32"/>
  <c r="Q16" i="32"/>
  <c r="Q17" i="32"/>
  <c r="Q18" i="32"/>
  <c r="Q19" i="32"/>
  <c r="Q20" i="32"/>
  <c r="Q21" i="32"/>
  <c r="Q22" i="32"/>
  <c r="Q23" i="32"/>
  <c r="Q9" i="32"/>
  <c r="R10" i="30"/>
  <c r="R11" i="30"/>
  <c r="R12" i="30"/>
  <c r="R13" i="30"/>
  <c r="R14" i="30"/>
  <c r="R15" i="30"/>
  <c r="R16" i="30"/>
  <c r="R17" i="30"/>
  <c r="R18" i="30"/>
  <c r="R19" i="30"/>
  <c r="R20" i="30"/>
  <c r="R21" i="30"/>
  <c r="R22" i="30"/>
  <c r="Q10" i="30"/>
  <c r="Q11" i="30"/>
  <c r="Q12" i="30"/>
  <c r="Q13" i="30"/>
  <c r="Q14" i="30"/>
  <c r="Q15" i="30"/>
  <c r="Q16" i="30"/>
  <c r="Q17" i="30"/>
  <c r="Q18" i="30"/>
  <c r="Q19" i="30"/>
  <c r="Q20" i="30"/>
  <c r="Q21" i="30"/>
  <c r="Q22" i="30"/>
  <c r="R22" i="34"/>
  <c r="Q22" i="34"/>
  <c r="R9" i="34"/>
  <c r="Q9" i="34"/>
  <c r="R8" i="34"/>
  <c r="Q8" i="34"/>
  <c r="Q9" i="31"/>
  <c r="R32" i="27"/>
  <c r="Q32" i="27"/>
  <c r="R9" i="27"/>
  <c r="Q9" i="27"/>
  <c r="R8" i="27"/>
  <c r="Q8" i="27"/>
  <c r="Q39" i="28"/>
  <c r="R9" i="28"/>
  <c r="R8" i="28"/>
  <c r="Q8" i="28"/>
  <c r="R9" i="29"/>
  <c r="Q9" i="29"/>
  <c r="R8" i="29"/>
  <c r="Q8" i="29"/>
  <c r="R25" i="30"/>
  <c r="Q25" i="30"/>
  <c r="R24" i="30"/>
  <c r="Q24" i="30"/>
  <c r="R9" i="30"/>
  <c r="Q9" i="30"/>
  <c r="R8" i="30"/>
  <c r="Q8" i="30"/>
  <c r="Q24" i="32"/>
  <c r="R8" i="32"/>
  <c r="Q8" i="32"/>
  <c r="R19" i="33"/>
  <c r="Q19" i="33"/>
  <c r="R18" i="33"/>
  <c r="Q18" i="33"/>
  <c r="R17" i="33"/>
  <c r="Q17" i="33"/>
  <c r="R16" i="33"/>
  <c r="Q16" i="33"/>
  <c r="R9" i="33"/>
  <c r="Q9" i="33"/>
  <c r="R8" i="33"/>
  <c r="Q8" i="33"/>
  <c r="R27" i="37"/>
  <c r="Q27" i="37"/>
  <c r="R9" i="37"/>
  <c r="Q9" i="37"/>
  <c r="R8" i="37"/>
  <c r="Q8" i="37"/>
  <c r="R23" i="38"/>
  <c r="Q23" i="38"/>
  <c r="R22" i="38"/>
  <c r="Q22" i="38"/>
  <c r="R21" i="38"/>
  <c r="R20" i="38"/>
  <c r="R19" i="38"/>
  <c r="R17" i="38"/>
  <c r="R16" i="38"/>
  <c r="R15" i="38"/>
  <c r="R14" i="38"/>
  <c r="R13" i="38"/>
  <c r="R12" i="38"/>
  <c r="R11" i="38"/>
  <c r="R10" i="38"/>
  <c r="R9" i="38"/>
  <c r="R8" i="38"/>
  <c r="Q8" i="38"/>
  <c r="Q23" i="39"/>
  <c r="Q24" i="39"/>
  <c r="Q25" i="39"/>
  <c r="Q9" i="39"/>
  <c r="Q8" i="39"/>
  <c r="R10" i="40"/>
  <c r="R11" i="40"/>
  <c r="R12" i="40"/>
  <c r="R13" i="40"/>
  <c r="R15" i="40"/>
  <c r="R16" i="40"/>
  <c r="R17" i="40"/>
  <c r="R18" i="40"/>
  <c r="R20" i="40"/>
  <c r="R21" i="40"/>
  <c r="R24" i="40"/>
  <c r="R25" i="40"/>
  <c r="R26" i="40"/>
  <c r="R27" i="40"/>
  <c r="Q10" i="40"/>
  <c r="Q11" i="40"/>
  <c r="Q12" i="40"/>
  <c r="Q13" i="40"/>
  <c r="Q15" i="40"/>
  <c r="Q16" i="40"/>
  <c r="Q17" i="40"/>
  <c r="Q18" i="40"/>
  <c r="Q20" i="40"/>
  <c r="Q21" i="40"/>
  <c r="Q25" i="40"/>
  <c r="Q26" i="40"/>
  <c r="Q27" i="40"/>
  <c r="R9" i="40"/>
  <c r="Q9" i="40"/>
  <c r="Q8" i="40"/>
  <c r="R9" i="36"/>
  <c r="Q9" i="36"/>
  <c r="Q8" i="36"/>
  <c r="R10" i="31"/>
  <c r="R11" i="31"/>
  <c r="R12" i="31"/>
  <c r="R13" i="31"/>
  <c r="R14" i="31"/>
  <c r="R15" i="31"/>
  <c r="R16" i="31"/>
  <c r="R17" i="31"/>
  <c r="R18" i="31"/>
  <c r="R19" i="31"/>
  <c r="R20" i="31"/>
  <c r="R21" i="31"/>
  <c r="Q10" i="31"/>
  <c r="Q11" i="31"/>
  <c r="Q12" i="31"/>
  <c r="Q13" i="31"/>
  <c r="Q14" i="31"/>
  <c r="Q15" i="31"/>
  <c r="Q16" i="31"/>
  <c r="Q17" i="31"/>
  <c r="Q18" i="31"/>
  <c r="Q19" i="31"/>
  <c r="Q20" i="31"/>
  <c r="Q21" i="31"/>
  <c r="R9" i="31"/>
  <c r="R10" i="17"/>
  <c r="R11" i="17"/>
  <c r="R12" i="17"/>
  <c r="R13" i="17"/>
  <c r="R14" i="17"/>
  <c r="R15" i="17"/>
  <c r="R16" i="17"/>
  <c r="Q10" i="17"/>
  <c r="Q11" i="17"/>
  <c r="Q12" i="17"/>
  <c r="Q13" i="17"/>
  <c r="Q14" i="17"/>
  <c r="Q15" i="17"/>
  <c r="Q16" i="17"/>
  <c r="R9" i="17"/>
  <c r="Q9" i="17"/>
  <c r="Q8" i="17"/>
  <c r="O10" i="22"/>
  <c r="O11" i="22"/>
  <c r="O12" i="22"/>
  <c r="O13" i="22"/>
  <c r="O14" i="22"/>
  <c r="O15" i="22"/>
  <c r="O16" i="22"/>
  <c r="O17" i="22"/>
  <c r="O18" i="22"/>
  <c r="N10" i="22"/>
  <c r="N11" i="22"/>
  <c r="N12" i="22"/>
  <c r="N13" i="22"/>
  <c r="N14" i="22"/>
  <c r="N15" i="22"/>
  <c r="N16" i="22"/>
  <c r="N17" i="22"/>
  <c r="N18" i="22"/>
  <c r="O9" i="22"/>
  <c r="N9" i="22"/>
  <c r="N8" i="22"/>
  <c r="N7" i="22"/>
  <c r="R10" i="35"/>
  <c r="R11" i="35"/>
  <c r="R12" i="35"/>
  <c r="R13" i="35"/>
  <c r="R14" i="35"/>
  <c r="R15" i="35"/>
  <c r="R16" i="35"/>
  <c r="R17" i="35"/>
  <c r="R18" i="35"/>
  <c r="R19" i="35"/>
  <c r="R20" i="35"/>
  <c r="R21" i="35"/>
  <c r="R22" i="35"/>
  <c r="R23" i="35"/>
  <c r="R24" i="35"/>
  <c r="R9" i="35"/>
  <c r="Q20" i="35"/>
  <c r="Q21" i="35"/>
  <c r="Q22" i="35"/>
  <c r="Q23" i="35"/>
  <c r="Q24" i="35"/>
  <c r="Q25" i="35"/>
  <c r="Q19" i="35"/>
  <c r="Q10" i="35"/>
  <c r="Q11" i="35"/>
  <c r="Q12" i="35"/>
  <c r="Q13" i="35"/>
  <c r="Q14" i="35"/>
  <c r="Q15" i="35"/>
  <c r="Q16" i="35"/>
  <c r="Q17" i="35"/>
  <c r="Q18" i="35"/>
  <c r="Q9" i="35"/>
  <c r="Q8" i="35"/>
  <c r="R8" i="40"/>
  <c r="C2" i="40"/>
  <c r="R25" i="39"/>
  <c r="R24" i="39"/>
  <c r="R23" i="39"/>
  <c r="R22" i="39"/>
  <c r="R8" i="39"/>
  <c r="R7" i="39"/>
  <c r="C2" i="39"/>
  <c r="C2" i="38" l="1"/>
  <c r="C2" i="37"/>
  <c r="R8" i="36"/>
  <c r="C2" i="36"/>
  <c r="R25" i="35"/>
  <c r="R8" i="35"/>
  <c r="C2" i="35"/>
  <c r="C2" i="34"/>
  <c r="C2" i="33"/>
  <c r="C2" i="32"/>
  <c r="R8" i="31"/>
  <c r="C2" i="31"/>
  <c r="C2" i="30"/>
  <c r="C2" i="29"/>
  <c r="C2" i="28"/>
  <c r="C2" i="27"/>
  <c r="C9" i="22"/>
  <c r="O8" i="22"/>
  <c r="O7" i="22"/>
  <c r="C2" i="22"/>
  <c r="R8" i="17"/>
  <c r="C2" i="17"/>
  <c r="A49" i="2"/>
  <c r="A48" i="2"/>
  <c r="A47" i="2"/>
  <c r="A46" i="2"/>
  <c r="A44" i="2"/>
  <c r="A43" i="2"/>
  <c r="A4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A26AD8-11DC-4ACA-8C7A-7B91AB5EF6F9}" keepAlive="1" name="Query - FACT - בקשות תמיכה של אגודות ברמת קבוצה + בקשות אגודות גביע אירופה ברמת קבוצה" description="Connection to the 'FACT - בקשות תמיכה של אגודות ברמת קבוצה + בקשות אגודות גביע אירופה ברמת קבוצה' query in the workbook." type="5" refreshedVersion="8" background="1" saveData="1">
    <dbPr connection="Provider=Microsoft.Mashup.OleDb.1;Data Source=$Workbook$;Location=&quot;FACT - בקשות תמיכה של אגודות ברמת קבוצה + בקשות אגודות גביע אירופה ברמת קבוצה&quot;;Extended Properties=&quot;&quot;" command="SELECT * FROM [FACT - בקשות תמיכה של אגודות ברמת קבוצה + בקשות אגודות גביע אירופה ברמת קבוצה]"/>
  </connection>
  <connection id="2" xr16:uid="{591D0D10-1E23-48BD-8AC1-3BF8CA4AE4C9}" keepAlive="1" name="Query - אגודות" description="Connection to the 'אגודות' query in the workbook." type="5" refreshedVersion="0" background="1">
    <dbPr connection="Provider=Microsoft.Mashup.OleDb.1;Data Source=$Workbook$;Location=אגודות;Extended Properties=&quot;&quot;" command="SELECT * FROM [אגודות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<sst xmlns="http://schemas.openxmlformats.org/spreadsheetml/2006/main" count="3617" uniqueCount="995">
  <si>
    <t>STT Status</t>
  </si>
  <si>
    <t>In Progress</t>
  </si>
  <si>
    <t>Population</t>
  </si>
  <si>
    <r>
      <t>Source</t>
    </r>
    <r>
      <rPr>
        <b/>
        <sz val="10"/>
        <color rgb="FF000000"/>
        <rFont val="Calibri"/>
        <family val="2"/>
      </rPr>
      <t>1</t>
    </r>
  </si>
  <si>
    <t>Header</t>
  </si>
  <si>
    <t>Frequency</t>
  </si>
  <si>
    <r>
      <t>Source</t>
    </r>
    <r>
      <rPr>
        <b/>
        <sz val="9"/>
        <color rgb="FF000000"/>
        <rFont val="Calibri"/>
        <family val="2"/>
      </rPr>
      <t>2</t>
    </r>
  </si>
  <si>
    <r>
      <t>Source</t>
    </r>
    <r>
      <rPr>
        <b/>
        <sz val="9"/>
        <color rgb="FF000000"/>
        <rFont val="Calibri"/>
        <family val="2"/>
      </rPr>
      <t>3</t>
    </r>
  </si>
  <si>
    <t>Initial query</t>
  </si>
  <si>
    <t>union 3 sheets:
תקציב איגודים 25
 אגודות שוטף ברמת קבוצה 25
תקציב אירופה 25</t>
  </si>
  <si>
    <t>טבל תקציבים של איגודים, אגודות ואליפות אירופה</t>
  </si>
  <si>
    <t>Parameters</t>
  </si>
  <si>
    <t>Target schema status</t>
  </si>
  <si>
    <t>Source System</t>
  </si>
  <si>
    <t>Loading method</t>
  </si>
  <si>
    <t>ETL Status</t>
  </si>
  <si>
    <t>אקסלים מהלקוח</t>
  </si>
  <si>
    <t>Dependencies</t>
  </si>
  <si>
    <t>Picture</t>
  </si>
  <si>
    <t>Create Table script</t>
  </si>
  <si>
    <t>Target</t>
  </si>
  <si>
    <t xml:space="preserve">     First Source - איגודים</t>
  </si>
  <si>
    <t xml:space="preserve">     Source 2 for Union -אגודות</t>
  </si>
  <si>
    <r>
      <t xml:space="preserve">     Source 3 for Union - </t>
    </r>
    <r>
      <rPr>
        <b/>
        <sz val="10"/>
        <color rgb="FF000000"/>
        <rFont val="Calibri"/>
        <family val="2"/>
      </rPr>
      <t>אליפות אירופה</t>
    </r>
  </si>
  <si>
    <t>Column Name</t>
  </si>
  <si>
    <t>Type</t>
  </si>
  <si>
    <t>Key</t>
  </si>
  <si>
    <t>Comment and/or Example</t>
  </si>
  <si>
    <t>Source</t>
  </si>
  <si>
    <t>Table</t>
  </si>
  <si>
    <t>Column/s Name/s</t>
  </si>
  <si>
    <t>Transformation</t>
  </si>
  <si>
    <t>association_id</t>
  </si>
  <si>
    <t>אקסל</t>
  </si>
  <si>
    <t>תקציב איגודים 25</t>
  </si>
  <si>
    <t>מס' עמותה</t>
  </si>
  <si>
    <t xml:space="preserve"> אגודות שוטף ברמת קבוצה 25 </t>
  </si>
  <si>
    <t>null</t>
  </si>
  <si>
    <t xml:space="preserve">תקציב אירופה 25   </t>
  </si>
  <si>
    <t>branch_name</t>
  </si>
  <si>
    <t>שם הענף</t>
  </si>
  <si>
    <t>ענף</t>
  </si>
  <si>
    <t>תקציב אירופה 26</t>
  </si>
  <si>
    <t>branch_id</t>
  </si>
  <si>
    <t>מספר ענף</t>
  </si>
  <si>
    <t>תקציב אירופה 27</t>
  </si>
  <si>
    <t>approved_amount</t>
  </si>
  <si>
    <t>סכום תמיכה מאושר</t>
  </si>
  <si>
    <t>תקציב שיחולק בפועל</t>
  </si>
  <si>
    <t>תקציב אירופה 28</t>
  </si>
  <si>
    <t xml:space="preserve">סכום מאושר לאחר מקבלת סכום מבוקש </t>
  </si>
  <si>
    <t>request_type_filter</t>
  </si>
  <si>
    <t>Calculated</t>
  </si>
  <si>
    <t>איגוד</t>
  </si>
  <si>
    <t>אגודה</t>
  </si>
  <si>
    <t>אליפות אירופה</t>
  </si>
  <si>
    <t>society_id</t>
  </si>
  <si>
    <t>מס' אגודה</t>
  </si>
  <si>
    <t>תקציב אירופה 30</t>
  </si>
  <si>
    <t>מזהה מגיש הבקשה</t>
  </si>
  <si>
    <t>team_number</t>
  </si>
  <si>
    <t>מס' קבוצת ספורט</t>
  </si>
  <si>
    <t>תקציב אירופה 31</t>
  </si>
  <si>
    <t>מס' קבוצה</t>
  </si>
  <si>
    <t>Leave Empty</t>
  </si>
  <si>
    <r>
      <t>Source</t>
    </r>
    <r>
      <rPr>
        <b/>
        <sz val="10"/>
        <color theme="1"/>
        <rFont val="Calibri"/>
        <family val="2"/>
      </rPr>
      <t>1</t>
    </r>
  </si>
  <si>
    <t>Status</t>
  </si>
  <si>
    <t>Meta</t>
  </si>
  <si>
    <t>"</t>
  </si>
  <si>
    <t>": "</t>
  </si>
  <si>
    <t>נתוני מתקנים</t>
  </si>
  <si>
    <t xml:space="preserve">     Main Source</t>
  </si>
  <si>
    <t xml:space="preserve">     Review Status</t>
  </si>
  <si>
    <t xml:space="preserve">     MetaData</t>
  </si>
  <si>
    <t>דינה</t>
  </si>
  <si>
    <t>Category</t>
  </si>
  <si>
    <t>Version</t>
  </si>
  <si>
    <t>district</t>
  </si>
  <si>
    <t>string</t>
  </si>
  <si>
    <t>מחוז</t>
  </si>
  <si>
    <t>EXEL</t>
  </si>
  <si>
    <t>Facilities_DATA.xlsx</t>
  </si>
  <si>
    <t>MainKey</t>
  </si>
  <si>
    <t>Core 1.0</t>
  </si>
  <si>
    <t>inspector_name</t>
  </si>
  <si>
    <t>שם המפקח</t>
  </si>
  <si>
    <t>מפקח</t>
  </si>
  <si>
    <t>authority_name</t>
  </si>
  <si>
    <t>רשות המקומית</t>
  </si>
  <si>
    <t>רשות מקומית</t>
  </si>
  <si>
    <t>facility_type</t>
  </si>
  <si>
    <t>סוג המתקן</t>
  </si>
  <si>
    <t>סוג מתקן</t>
  </si>
  <si>
    <t>facility_name</t>
  </si>
  <si>
    <t>שם המתקן</t>
  </si>
  <si>
    <t>neighborhood_details</t>
  </si>
  <si>
    <t>שכונה-רובע ; משמש גם לטקסט חופשי במקרים שבהם אין כתובת מלאה ונדרשת הערה לצורך איתור המתקן</t>
  </si>
  <si>
    <t>הערות מיקום</t>
  </si>
  <si>
    <t>locality_name</t>
  </si>
  <si>
    <t>שם היישוב</t>
  </si>
  <si>
    <t>ישוב</t>
  </si>
  <si>
    <t>street_name_updated</t>
  </si>
  <si>
    <t>שם הרחוב המעודכן</t>
  </si>
  <si>
    <t>רחוב (מעודכן)</t>
  </si>
  <si>
    <t>street_name</t>
  </si>
  <si>
    <t>שם הרחוב</t>
  </si>
  <si>
    <t>רחוב</t>
  </si>
  <si>
    <t>house_number</t>
  </si>
  <si>
    <t>מספר הבית</t>
  </si>
  <si>
    <t>מספר בית</t>
  </si>
  <si>
    <t>building_count</t>
  </si>
  <si>
    <t>Int64</t>
  </si>
  <si>
    <t>מספר המבנים במתקן</t>
  </si>
  <si>
    <t>מספר המבנים</t>
  </si>
  <si>
    <t>facility_owner_name</t>
  </si>
  <si>
    <t>שם בעל המתקן</t>
  </si>
  <si>
    <t>בעלי המתקן</t>
  </si>
  <si>
    <t>facility_operator_name</t>
  </si>
  <si>
    <t>הגוף המפעיל את המתקן</t>
  </si>
  <si>
    <t>גוף מפעיל המתקן</t>
  </si>
  <si>
    <t>seat_count</t>
  </si>
  <si>
    <t>מספר המושבים במתקן</t>
  </si>
  <si>
    <t>מספר מושבים</t>
  </si>
  <si>
    <t>available_for_activity</t>
  </si>
  <si>
    <t>האם המתקן פנוי לפעילות</t>
  </si>
  <si>
    <t>פנוי לפעילות</t>
  </si>
  <si>
    <t>fencing_exists</t>
  </si>
  <si>
    <t>האם קיימת גידור במתקן</t>
  </si>
  <si>
    <t>גידור קיים</t>
  </si>
  <si>
    <t>lighting_exists</t>
  </si>
  <si>
    <t>האם קיימת תאורה במתקן</t>
  </si>
  <si>
    <t>תאורה קיימת</t>
  </si>
  <si>
    <t>accessibility_for_disabled</t>
  </si>
  <si>
    <t>האם המתקן נגיש לאנשים עם מוגבלות</t>
  </si>
  <si>
    <t>נגישות לנכים</t>
  </si>
  <si>
    <t>vehicle_parking</t>
  </si>
  <si>
    <t>האם קיימת חניה לרכבים</t>
  </si>
  <si>
    <t>חניה לרכבים</t>
  </si>
  <si>
    <t>facility_condition</t>
  </si>
  <si>
    <t>מצב המתקן</t>
  </si>
  <si>
    <t>competition_standard</t>
  </si>
  <si>
    <t>האם המתקן עומד בתקן לקיום תחרויות</t>
  </si>
  <si>
    <t>מתקן תקני לתחרויות</t>
  </si>
  <si>
    <t>official_competition_use</t>
  </si>
  <si>
    <t>האם המתקן משמש לתחרויות רשמיות</t>
  </si>
  <si>
    <t>שימוש לתחרויות רשמיות</t>
  </si>
  <si>
    <t>establishment_year</t>
  </si>
  <si>
    <t>שנת הקמת המתקן</t>
  </si>
  <si>
    <t>שנת הקמה</t>
  </si>
  <si>
    <t>school_served</t>
  </si>
  <si>
    <t>שם בית הספר שהמתקן משרת</t>
  </si>
  <si>
    <t>משרת בית ספר (שם בי"ס)</t>
  </si>
  <si>
    <t>notes</t>
  </si>
  <si>
    <t>הערות כלליות על המתקן</t>
  </si>
  <si>
    <t>הערות</t>
  </si>
  <si>
    <t>facility_id</t>
  </si>
  <si>
    <t>PK</t>
  </si>
  <si>
    <t>מזהה ייחודי של המתקן</t>
  </si>
  <si>
    <t>מזהה מתקן</t>
  </si>
  <si>
    <t>inspection_flag</t>
  </si>
  <si>
    <t>דגל לבדיקה</t>
  </si>
  <si>
    <t>owner_type</t>
  </si>
  <si>
    <t>סוג בעל המתקן: עירייה / חכ"ל / פרטי</t>
  </si>
  <si>
    <t>סוג בעלים של המתקן (עירייה/חכ"ל/פרטי)</t>
  </si>
  <si>
    <t>owner_id</t>
  </si>
  <si>
    <t>מזהה בעל המתקן, כגון ח.פ. או ד.נ.</t>
  </si>
  <si>
    <t>מזהה בעלים (ח.פ. ד.נ.)</t>
  </si>
  <si>
    <t>lifecycle_status</t>
  </si>
  <si>
    <t>סטטוס מחזור החיים של המתקן</t>
  </si>
  <si>
    <t>סטטוס מחזור חיים</t>
  </si>
  <si>
    <t>last_updated_date</t>
  </si>
  <si>
    <t>תאריך העדכון האחרון של נתוני המתקן</t>
  </si>
  <si>
    <t>תאריך עדכון אחרון</t>
  </si>
  <si>
    <t>updated_by</t>
  </si>
  <si>
    <t>הגורם או המשתמש שביצע את העדכון האחרון</t>
  </si>
  <si>
    <t>מי עדכן</t>
  </si>
  <si>
    <t>data_source</t>
  </si>
  <si>
    <t>מקור הנתון</t>
  </si>
  <si>
    <t>)</t>
  </si>
  <si>
    <t>geocoding_status</t>
  </si>
  <si>
    <t>סטטוס תהליך איתור הקואורדינטות. לדוגמה: SUCCESS / NO_MATCH / NO_QUERY</t>
  </si>
  <si>
    <t>ETL</t>
  </si>
  <si>
    <t>N/A</t>
  </si>
  <si>
    <t>נתוני כתובת + GovMap response</t>
  </si>
  <si>
    <t>נקבע לפי תוצאת תהליך ה-Geocoding. SUCCESS כאשר נמצאה התאמה תקינה; NO_MATCH כאשר בוצע חיפוש ללא התאמה; NO_QUERY כאשר אין מספיק נתונים לביצוע חיפוש</t>
  </si>
  <si>
    <t>location_accuracy</t>
  </si>
  <si>
    <t>רמת הדיוק של ההתאמה: ADDRESS / STREET / LOCALITY</t>
  </si>
  <si>
    <t>locality_name, authority_name, street_name_updated, street_name, house_number</t>
  </si>
  <si>
    <t>נקבע לפי רמת החיפוש שבה התקבלה התאמה תקינה: כתובת מלאה, רחוב או יישוב</t>
  </si>
  <si>
    <t>geocoding_query</t>
  </si>
  <si>
    <t>מחרוזת החיפוש שבאמצעותה התקבלה ההתאמה</t>
  </si>
  <si>
    <t>בניית שאילתת חיפוש באופן מדורג לפי נתוני הכתובת הזמינים ושמירת השאילתה שהביאה להתאמה</t>
  </si>
  <si>
    <t>geocoding_source_locality</t>
  </si>
  <si>
    <t>ערך היישוב ששימש לצורך איתור המיקום</t>
  </si>
  <si>
    <t>locality_name, authority_name</t>
  </si>
  <si>
    <t>בחירת ערך היישוב מתוך נתוני המקור בהתאם ללוגיקת ה-Geocoding</t>
  </si>
  <si>
    <t>geocoding_source_street</t>
  </si>
  <si>
    <t>ערך הרחוב ששימש לצורך איתור המיקום</t>
  </si>
  <si>
    <t>street_name_updated, street_name</t>
  </si>
  <si>
    <t>שימוש בשם הרחוב המעודכן כאשר קיים, אחרת בשם הרחוב המקורי</t>
  </si>
  <si>
    <t>geocoding_source_house_number</t>
  </si>
  <si>
    <t>מספר הבית ששימש לצורך איתור המיקום</t>
  </si>
  <si>
    <t>העברת מספר הבית מנתוני המקור לצורך בניית שאילתת הכתובת</t>
  </si>
  <si>
    <t>govmap_result_text</t>
  </si>
  <si>
    <t>תיאור התוצאה שנבחרה מתוך GovMap</t>
  </si>
  <si>
    <t>GovMap API</t>
  </si>
  <si>
    <t>results[].text</t>
  </si>
  <si>
    <t>שמירת טקסט תוצאת GovMap שנבחרה כהתאמה תקינה</t>
  </si>
  <si>
    <t>govmap_original_text</t>
  </si>
  <si>
    <t>טקסט הכתובת המקורי המוחזר ע"י GovMap</t>
  </si>
  <si>
    <t>results[].originalText</t>
  </si>
  <si>
    <t>שמירת originalText של תוצאת GovMap שנבחרה</t>
  </si>
  <si>
    <t>govmap_type</t>
  </si>
  <si>
    <t>סוג הישות שהוחזרה, לדוגמה address / street / settlement</t>
  </si>
  <si>
    <t>GovMap result type</t>
  </si>
  <si>
    <t>חילוץ וסיווג סוג תוצאת החיפוש שנבחרה</t>
  </si>
  <si>
    <t>govmap_score</t>
  </si>
  <si>
    <t>float64</t>
  </si>
  <si>
    <t>ציון ההתאמה שהתקבל מ-GovMap</t>
  </si>
  <si>
    <t>results[].score</t>
  </si>
  <si>
    <t>שמירת ציון ההתאמה של תוצאת GovMap שנבחרה</t>
  </si>
  <si>
    <t>govmap_shape</t>
  </si>
  <si>
    <t>הגאומטריה המקורית שהוחזרה מ-GovMap, לדוגמה POINT(...)</t>
  </si>
  <si>
    <t>results[].shape</t>
  </si>
  <si>
    <t>שמירת ערך ה-POINT של תוצאת GovMap שנבחרה</t>
  </si>
  <si>
    <t>govmap_x</t>
  </si>
  <si>
    <t>קואורדינטת X המקורית מתוך GovMap</t>
  </si>
  <si>
    <t>חילוץ ערך X מתוך POINT שהוחזר בשדה govmap_shape</t>
  </si>
  <si>
    <t>govmap_y</t>
  </si>
  <si>
    <t>קואורדינטת Y המקורית מתוך GovMap</t>
  </si>
  <si>
    <t>חילוץ ערך Y מתוך POINT שהוחזר בשדה govmap_shape</t>
  </si>
  <si>
    <t>latitude</t>
  </si>
  <si>
    <t>קו רוחב בפורמט המתאים להצגה במפה</t>
  </si>
  <si>
    <t>govmap_x, govmap_y</t>
  </si>
  <si>
    <t>המרת הקואורדינטות שהוחזרו מ-GovMap למערכת WGS84 והפקת Latitude</t>
  </si>
  <si>
    <t>longitude</t>
  </si>
  <si>
    <t>קו אורך בפורמט המתאים להצגה במפה</t>
  </si>
  <si>
    <t>המרת הקואורדינטות שהוחזרו מ-GovMap למערכת WGS84 והפקת Longitude</t>
  </si>
  <si>
    <t>geocoded_at</t>
  </si>
  <si>
    <t>datetime</t>
  </si>
  <si>
    <t>מועד ביצוע תהליך ה-Geocoding</t>
  </si>
  <si>
    <t>System timestamp</t>
  </si>
  <si>
    <t>שמירת מועד ביצוע ה-Geocoding עבור הרשומה</t>
  </si>
  <si>
    <t>נתוני הלמ"ס</t>
  </si>
  <si>
    <t>נתוני למ"ס אוכלוסייה</t>
  </si>
  <si>
    <t>למ"ס</t>
  </si>
  <si>
    <t>שם  הרשות</t>
  </si>
  <si>
    <t>lamas</t>
  </si>
  <si>
    <t>נתונים פיזיים ונתוני אוכלוסייה</t>
  </si>
  <si>
    <t>authority_id</t>
  </si>
  <si>
    <t>סמל הרשות</t>
  </si>
  <si>
    <t>lamas_district</t>
  </si>
  <si>
    <t>municipal_status</t>
  </si>
  <si>
    <t>מעמד מוניציפלי</t>
  </si>
  <si>
    <t>distance_from_tel_aviv_km</t>
  </si>
  <si>
    <t>float</t>
  </si>
  <si>
    <t>מרחק מגבול מחוז תל אביב (ק"מ)</t>
  </si>
  <si>
    <t>municipal_status_year</t>
  </si>
  <si>
    <t>שנת קבלת מעמד מוניציפלי</t>
  </si>
  <si>
    <t>coastal_border</t>
  </si>
  <si>
    <t>מרחב ימי, רשויות מקומיות הגובלות בחוף הים</t>
  </si>
  <si>
    <t>council_members_count</t>
  </si>
  <si>
    <t>מספר חברי מועצה</t>
  </si>
  <si>
    <t>planning_committee_id</t>
  </si>
  <si>
    <t>סמל ועדת תכנון ובנייה</t>
  </si>
  <si>
    <t>planning_committee_name</t>
  </si>
  <si>
    <t>שם ועדת תכנון ובנייה</t>
  </si>
  <si>
    <t>area_km2</t>
  </si>
  <si>
    <t>שטח (קמ"ר)</t>
  </si>
  <si>
    <t>total_population</t>
  </si>
  <si>
    <t>סה"כ אוכלוסייה בסוף השנה</t>
  </si>
  <si>
    <t>total_israelis</t>
  </si>
  <si>
    <t>סך כל הישראלים</t>
  </si>
  <si>
    <t>jews_others_pct</t>
  </si>
  <si>
    <t>יהודים ואחרים (אחוזים מתוך כלל אוכלוסיית הישראלים)</t>
  </si>
  <si>
    <t>jews_pct</t>
  </si>
  <si>
    <t>יהודים (אחוזים מתוך יהודים ואחרים)</t>
  </si>
  <si>
    <t>arab_pct</t>
  </si>
  <si>
    <t>ערבים (אחוזים מתוך כלל אוכלוסיית הישראלים)</t>
  </si>
  <si>
    <t>muslim_pct</t>
  </si>
  <si>
    <t>מוסלמים (אחוזים מתוך האוכלוסייה הערבית)</t>
  </si>
  <si>
    <t>christian_pct</t>
  </si>
  <si>
    <t>נוצרים (אחוזים מתוך האוכלוסייה הערבית)</t>
  </si>
  <si>
    <t>druze_pct</t>
  </si>
  <si>
    <t>דרוזים (אחוזים מתוך האוכלוסייה הערבית)</t>
  </si>
  <si>
    <t>total_males</t>
  </si>
  <si>
    <t>סה"כ גברים בסוף השנה</t>
  </si>
  <si>
    <t>total_females</t>
  </si>
  <si>
    <t>סה"כ נשים בסוף השנה</t>
  </si>
  <si>
    <t>population_growth_pct_yoy</t>
  </si>
  <si>
    <t>אחוז גידול האוכלוסייה לעומת השנה הקודמת</t>
  </si>
  <si>
    <t>socioeconomic_cluster</t>
  </si>
  <si>
    <t>מדד חברתי-כלכלי אשכול (מ-1 עד 10, 1 הנמוך ביותר)</t>
  </si>
  <si>
    <t>socioeconomic_index_value</t>
  </si>
  <si>
    <t>מדד חברתי-כלכלי ערך מדד</t>
  </si>
  <si>
    <t>socioeconomic_rank</t>
  </si>
  <si>
    <t>מדד חברתי-כלכלי דירוג (מ-1 עד 255, 1 הנמוך ביותר)</t>
  </si>
  <si>
    <t>compactness_cluster</t>
  </si>
  <si>
    <t>אשכול (מ-1 עד 10, 1 הקומפקטי ביותר)</t>
  </si>
  <si>
    <t>compactness_index_value</t>
  </si>
  <si>
    <t>ערך מדד</t>
  </si>
  <si>
    <t>compactness_rank</t>
  </si>
  <si>
    <t>דירוג (מ-1 עד 197, 1 הקומפקטי ביותר)</t>
  </si>
  <si>
    <t>peripherality_cluster</t>
  </si>
  <si>
    <t>מדד פריפריאליות אשכול (מ-1 עד 10, 1 הפריפריאלי ביותר)</t>
  </si>
  <si>
    <t>peripherality_index_value</t>
  </si>
  <si>
    <t>מדד פריפריאליות ערך מדד</t>
  </si>
  <si>
    <t>peripherality_rank</t>
  </si>
  <si>
    <t>מדד פריפריאליות דירוג (מ-1 עד 255, 1 הפריפריאלי ביותר)</t>
  </si>
  <si>
    <t>ingestion_timestamp</t>
  </si>
  <si>
    <t>account</t>
  </si>
  <si>
    <t>איגודים</t>
  </si>
  <si>
    <t>CRM</t>
  </si>
  <si>
    <t>מספר איגוד</t>
  </si>
  <si>
    <t>accounts</t>
  </si>
  <si>
    <t>accountnumber</t>
  </si>
  <si>
    <t>association_code</t>
  </si>
  <si>
    <t>קוד איגוד במערכת CRM</t>
  </si>
  <si>
    <t>accountid</t>
  </si>
  <si>
    <t>association_name</t>
  </si>
  <si>
    <t>שם האיגוד</t>
  </si>
  <si>
    <t>name</t>
  </si>
  <si>
    <t>association_type</t>
  </si>
  <si>
    <t>סוג תיק לקוח</t>
  </si>
  <si>
    <t>new_new_accounttypefs_label</t>
  </si>
  <si>
    <t>new_new_accounttypefs_label = איגוד ספורט</t>
  </si>
  <si>
    <t>provider_num</t>
  </si>
  <si>
    <t>מספר ספק במרכבה</t>
  </si>
  <si>
    <t>new_providernumber</t>
  </si>
  <si>
    <t>main_branch_name</t>
  </si>
  <si>
    <t>ענף ראשי</t>
  </si>
  <si>
    <t>_new_id_mainbranch_value_label</t>
  </si>
  <si>
    <t>main_branch_code</t>
  </si>
  <si>
    <t>קוד ענף ראשי במערכת CRM</t>
  </si>
  <si>
    <t>_new_id_mainbranch_value</t>
  </si>
  <si>
    <t>is_inactive</t>
  </si>
  <si>
    <t>רשומה פעילה שווה אפס</t>
  </si>
  <si>
    <t>statecode</t>
  </si>
  <si>
    <t>status_code</t>
  </si>
  <si>
    <t>Int65</t>
  </si>
  <si>
    <t>האם רשומה פעילה</t>
  </si>
  <si>
    <t>statuscode</t>
  </si>
  <si>
    <t>modified_on_date</t>
  </si>
  <si>
    <t>תאריך עדכון</t>
  </si>
  <si>
    <t>modifiedon</t>
  </si>
  <si>
    <t>new_societies</t>
  </si>
  <si>
    <t>אגודות</t>
  </si>
  <si>
    <t>מספר אגודה</t>
  </si>
  <si>
    <t>new_t_societynumber</t>
  </si>
  <si>
    <t>society_code</t>
  </si>
  <si>
    <t>קוד אגודה במערכת CRM</t>
  </si>
  <si>
    <t>new_societyid</t>
  </si>
  <si>
    <t>society_name</t>
  </si>
  <si>
    <t>שם אגודה</t>
  </si>
  <si>
    <t>new_t_society_name</t>
  </si>
  <si>
    <t>authority_code</t>
  </si>
  <si>
    <t>קוד רשות מקומית במערכת CRM</t>
  </si>
  <si>
    <t>_new_id_localauthority_value</t>
  </si>
  <si>
    <t>רשות מקומית - לא בהכרח רלוונטי</t>
  </si>
  <si>
    <t>_new_id_localauthority_value_label</t>
  </si>
  <si>
    <t>new_branchs</t>
  </si>
  <si>
    <t>ענפים</t>
  </si>
  <si>
    <t>SF</t>
  </si>
  <si>
    <t>מזהה ענף</t>
  </si>
  <si>
    <t>new_i_branchuniq</t>
  </si>
  <si>
    <t>branch_code</t>
  </si>
  <si>
    <t>קוד ענף במערכת CRM</t>
  </si>
  <si>
    <t>new_branchid</t>
  </si>
  <si>
    <t>שם ענף</t>
  </si>
  <si>
    <t>new_name</t>
  </si>
  <si>
    <t>is_upper_branch</t>
  </si>
  <si>
    <t>האם ענף על?</t>
  </si>
  <si>
    <t>new_b_upperbranch</t>
  </si>
  <si>
    <t>personal_or_group</t>
  </si>
  <si>
    <t>קבוצתי/אישי</t>
  </si>
  <si>
    <t>new_pl_branch_type_label</t>
  </si>
  <si>
    <t>is_thinking_branch</t>
  </si>
  <si>
    <t>האם ענף חשיבה?</t>
  </si>
  <si>
    <t>new_b_thinkingbranch</t>
  </si>
  <si>
    <t>is_sub_branch</t>
  </si>
  <si>
    <t>האם תת ענף?</t>
  </si>
  <si>
    <t>new_b_subbranch</t>
  </si>
  <si>
    <t>sport_type</t>
  </si>
  <si>
    <t>סוג ספורט -פראלימפי וכו</t>
  </si>
  <si>
    <t>new_pl_sporttype_label</t>
  </si>
  <si>
    <t>is_favorite_branch</t>
  </si>
  <si>
    <t>האם ענף מועדף?</t>
  </si>
  <si>
    <t>new_b_favoritebranch</t>
  </si>
  <si>
    <t>is_olympic_branch</t>
  </si>
  <si>
    <t>האם ענף אולימפי?</t>
  </si>
  <si>
    <t>new_b_olympic</t>
  </si>
  <si>
    <t>is_special_needs_branch</t>
  </si>
  <si>
    <t>האם ענף עם צרכים מיוחדים?</t>
  </si>
  <si>
    <t>new_b_branchwithspecialneeds</t>
  </si>
  <si>
    <t xml:space="preserve">ענף ראשי </t>
  </si>
  <si>
    <t>branch_area</t>
  </si>
  <si>
    <t>ייעוד תחום ענף</t>
  </si>
  <si>
    <t>_new_id_area_value_label</t>
  </si>
  <si>
    <t>new_ageforgroups</t>
  </si>
  <si>
    <t>אא - גילאים</t>
  </si>
  <si>
    <t>age_group_code</t>
  </si>
  <si>
    <t>קוד טבלת גילאים במערכת CRM</t>
  </si>
  <si>
    <t>new_ageforgroupid</t>
  </si>
  <si>
    <t>age_group_gender</t>
  </si>
  <si>
    <t>מגדר</t>
  </si>
  <si>
    <t>new_pl_gender_label</t>
  </si>
  <si>
    <t>age_group_from_age</t>
  </si>
  <si>
    <t>מגיל</t>
  </si>
  <si>
    <t>new_i_fromage</t>
  </si>
  <si>
    <t>age_group_to_age</t>
  </si>
  <si>
    <t>עד גיל</t>
  </si>
  <si>
    <t>new_i_toage</t>
  </si>
  <si>
    <t>age_group_desc</t>
  </si>
  <si>
    <t>שם הגיל</t>
  </si>
  <si>
    <t>is_exsist_personal_branch</t>
  </si>
  <si>
    <t>האם קיים בענף אישי?</t>
  </si>
  <si>
    <t>new_b_isowningpersonalbranch</t>
  </si>
  <si>
    <t>is_exsist_group_branch</t>
  </si>
  <si>
    <t>האם קיים בענף קבוצתי?</t>
  </si>
  <si>
    <t>new_b_isowninggroupbranch</t>
  </si>
  <si>
    <t>is_exsist_europe_champ</t>
  </si>
  <si>
    <t>האם קיים באליפות אירופה?</t>
  </si>
  <si>
    <t>new_b_isineuropechampionship</t>
  </si>
  <si>
    <t>new_localauthorities</t>
  </si>
  <si>
    <t>מזהה רשות</t>
  </si>
  <si>
    <t>new_code</t>
  </si>
  <si>
    <t>שם רשות</t>
  </si>
  <si>
    <t>new_district_label</t>
  </si>
  <si>
    <t>head_authority_name</t>
  </si>
  <si>
    <t>שם ראש הרשות</t>
  </si>
  <si>
    <t>new_headauthorityname</t>
  </si>
  <si>
    <t>קוד רשות במערכת CRM</t>
  </si>
  <si>
    <t>new_localauthorityid</t>
  </si>
  <si>
    <t>new_trainers</t>
  </si>
  <si>
    <t>מאמנים ומדריכים</t>
  </si>
  <si>
    <t>trainer_id</t>
  </si>
  <si>
    <t>מזהה מאמן</t>
  </si>
  <si>
    <t>new_t_idnumber</t>
  </si>
  <si>
    <t>trainer_code</t>
  </si>
  <si>
    <t>קוד מאמן במערכת CRM</t>
  </si>
  <si>
    <t>new_trainerid</t>
  </si>
  <si>
    <t>trainer_first_name</t>
  </si>
  <si>
    <t>שם פרטי</t>
  </si>
  <si>
    <t>new_t_fname</t>
  </si>
  <si>
    <t>trainer_last_name</t>
  </si>
  <si>
    <t>שם משפחה</t>
  </si>
  <si>
    <t>new_t_lname</t>
  </si>
  <si>
    <t>trainer_gender</t>
  </si>
  <si>
    <t>new_pl_sex_label</t>
  </si>
  <si>
    <t>support_request_code</t>
  </si>
  <si>
    <t>קוד בקשת תמיכה במערכת CRM</t>
  </si>
  <si>
    <t>_new_id_supportrequest_value</t>
  </si>
  <si>
    <t>instructor_or_trainer</t>
  </si>
  <si>
    <t>מאמן או מדריך</t>
  </si>
  <si>
    <t>new_pl_professionaleducation_label</t>
  </si>
  <si>
    <t>_new_id_association_value</t>
  </si>
  <si>
    <t>association_key</t>
  </si>
  <si>
    <t>מזהה איגוד ושם איגוד</t>
  </si>
  <si>
    <t>_new_id_association_value_label</t>
  </si>
  <si>
    <t>identification_type</t>
  </si>
  <si>
    <t>סוג זיהוי (דרכון או תז)</t>
  </si>
  <si>
    <t>new_id_type_label</t>
  </si>
  <si>
    <t>מפתח מזהה אגודה</t>
  </si>
  <si>
    <t>gross_monthly_salary_category</t>
  </si>
  <si>
    <t>קטגוריית שכר ברוטו חודשי</t>
  </si>
  <si>
    <t>new_pl_grossmonthlysalary_label</t>
  </si>
  <si>
    <t>salary_avg</t>
  </si>
  <si>
    <t>שכר ממוצע</t>
  </si>
  <si>
    <t>new_n_averagesalaryineconomy</t>
  </si>
  <si>
    <t>new_officials</t>
  </si>
  <si>
    <t>בעלי תפקידים</t>
  </si>
  <si>
    <t>official_id</t>
  </si>
  <si>
    <t>מזהה בעל תפקיד</t>
  </si>
  <si>
    <t>new_n_id</t>
  </si>
  <si>
    <t>official_code</t>
  </si>
  <si>
    <t>קוד בעל תפקיד במערכת CRM</t>
  </si>
  <si>
    <t>new_officialid</t>
  </si>
  <si>
    <t>_new_id_supportedrequest_value</t>
  </si>
  <si>
    <t>official_first_name</t>
  </si>
  <si>
    <t>new_n_firstname</t>
  </si>
  <si>
    <t>official_last_name</t>
  </si>
  <si>
    <t>new_n_lastname</t>
  </si>
  <si>
    <t>official_gender</t>
  </si>
  <si>
    <t>official_desc</t>
  </si>
  <si>
    <t>תיאור תפקיד</t>
  </si>
  <si>
    <t>_new_id_officialtype_value_label</t>
  </si>
  <si>
    <t>official_support_type</t>
  </si>
  <si>
    <t>האם נתמך או לא נתמך</t>
  </si>
  <si>
    <t>new_pl_supported_label</t>
  </si>
  <si>
    <t>salary</t>
  </si>
  <si>
    <t>שכר</t>
  </si>
  <si>
    <t>new_f_salary_label</t>
  </si>
  <si>
    <t>is_vaad_menahel</t>
  </si>
  <si>
    <t>האם הוא ועד מנהל</t>
  </si>
  <si>
    <t>new_pl_is_vaad_menahel</t>
  </si>
  <si>
    <t>new_athletetoachievements</t>
  </si>
  <si>
    <t>ספורטאים הישגיות ענף אישי באיגודים</t>
  </si>
  <si>
    <t>athlete_per_achievements_code</t>
  </si>
  <si>
    <t>קוד ספורטאי הישגי במערכת CRM</t>
  </si>
  <si>
    <t>new_athletetoachievementid</t>
  </si>
  <si>
    <t>athlete_per_achievements_id</t>
  </si>
  <si>
    <t>מזהה ספורטאי הישגי - תז</t>
  </si>
  <si>
    <t>מפתח עם בקשת תמיכה במערכת CRM</t>
  </si>
  <si>
    <t>athlete_per_achievements_score</t>
  </si>
  <si>
    <t>ניקוד ספורטאי אישי</t>
  </si>
  <si>
    <t>new_d_scoring</t>
  </si>
  <si>
    <t>athlete_per_achievements_full_name_en</t>
  </si>
  <si>
    <t>שם מלא באנגלית</t>
  </si>
  <si>
    <t>new_t_fullname</t>
  </si>
  <si>
    <t>athlete_support_request_code</t>
  </si>
  <si>
    <t>קוד ספורטאי בבקשת תמיכה במערכת CRM</t>
  </si>
  <si>
    <t>_new_id_athletesinsupportingrequest_value</t>
  </si>
  <si>
    <t>main_branch_achievements_code</t>
  </si>
  <si>
    <t xml:space="preserve">מפתח לטבלת הישגיות לענף אישי	</t>
  </si>
  <si>
    <t>_new_id_personalbranchachievements_value</t>
  </si>
  <si>
    <t>athlete_per_achievements_full_name_heb</t>
  </si>
  <si>
    <t>שם מלא בעברית</t>
  </si>
  <si>
    <t>_new_id_athletesinsupportingrequest_value_label</t>
  </si>
  <si>
    <t>competition_rank</t>
  </si>
  <si>
    <t>מקום בדירוג</t>
  </si>
  <si>
    <t>new_groupialbranchachievementses</t>
  </si>
  <si>
    <t>new_n_placeinrating</t>
  </si>
  <si>
    <t>new_mainbranchachievementses</t>
  </si>
  <si>
    <t>הישגיות לענף אישי</t>
  </si>
  <si>
    <t>קוד במערכת CRM</t>
  </si>
  <si>
    <t>new_mainbranchachievementsid</t>
  </si>
  <si>
    <t>champion_type</t>
  </si>
  <si>
    <t>סוג אליפות / תחרות</t>
  </si>
  <si>
    <t>new_pl_championshiptype_label</t>
  </si>
  <si>
    <t>champion_date</t>
  </si>
  <si>
    <t>date</t>
  </si>
  <si>
    <t>מועד האליפות</t>
  </si>
  <si>
    <t>new_d_championshipdate</t>
  </si>
  <si>
    <t>host_country</t>
  </si>
  <si>
    <t>מדינה מארחת</t>
  </si>
  <si>
    <t>_new_id_hostcountry_value_label</t>
  </si>
  <si>
    <t>competition_countries_cnt</t>
  </si>
  <si>
    <t>מספר מדינות משתתפות בקטגוריה</t>
  </si>
  <si>
    <t>new_n_numcountriesincategory</t>
  </si>
  <si>
    <t>personal_gender</t>
  </si>
  <si>
    <t>age_code</t>
  </si>
  <si>
    <t>מפתח גיל במערכת CRM</t>
  </si>
  <si>
    <t>_new_id_age_value</t>
  </si>
  <si>
    <t>age_personal_name</t>
  </si>
  <si>
    <t>שכבת גיל תחרות</t>
  </si>
  <si>
    <t>_new_id_age_value_label</t>
  </si>
  <si>
    <t>מפתח ענף במערכת CRM</t>
  </si>
  <si>
    <t>_new_id_subbranch_value</t>
  </si>
  <si>
    <t>_new_id_subbranch_value_label</t>
  </si>
  <si>
    <t>competitor_team_size</t>
  </si>
  <si>
    <t>בודד / זוג / שלשה (האם הוא מתחרה לבד, בזוג או בשלשה)</t>
  </si>
  <si>
    <t>new_n_singlepairthreeetc</t>
  </si>
  <si>
    <t>sport_weight_category</t>
  </si>
  <si>
    <t>מקצוע-קטגוריה-משקל</t>
  </si>
  <si>
    <t>new_t_specialization_mainbranchachievements</t>
  </si>
  <si>
    <t>participants_cnt</t>
  </si>
  <si>
    <t>מספר ספורטאים משתתפים בקטגוריה</t>
  </si>
  <si>
    <t>new_n_numathletesincategory</t>
  </si>
  <si>
    <t>is_olympic_profession_world</t>
  </si>
  <si>
    <t>מקצוע אולימפי/מ.עולם - כן / לא</t>
  </si>
  <si>
    <t>new_pl_olympicprofessionworld_label</t>
  </si>
  <si>
    <t>קבוצות הישגיות ענף קבוצתי באיגודים</t>
  </si>
  <si>
    <t>group_branch_achievements_code</t>
  </si>
  <si>
    <t>קוד קבוצה הישגיות במערכת CRM</t>
  </si>
  <si>
    <t>new_groupialbranchachievementsid</t>
  </si>
  <si>
    <t>מפתח קבוצת גיל במערכת CRM</t>
  </si>
  <si>
    <t>_new_id_age_groupialbranchachievements_value</t>
  </si>
  <si>
    <t>group_gender</t>
  </si>
  <si>
    <t>group_achievements_score</t>
  </si>
  <si>
    <t>ניקוד הישגיות קבוצתי</t>
  </si>
  <si>
    <t>new_i_teamachievementscore</t>
  </si>
  <si>
    <t>request_year</t>
  </si>
  <si>
    <t>שנת בקשה תמיכה</t>
  </si>
  <si>
    <t>_new_id_supportyear_value_label</t>
  </si>
  <si>
    <t>group_name</t>
  </si>
  <si>
    <t>שם של הקבוצה</t>
  </si>
  <si>
    <t>age_group_name</t>
  </si>
  <si>
    <t xml:space="preserve">שם קבוצת גיל </t>
  </si>
  <si>
    <t>_new_id_age_groupialbranchachievements_value_label</t>
  </si>
  <si>
    <t>סוג אליפות</t>
  </si>
  <si>
    <t>end_date</t>
  </si>
  <si>
    <t>מועד סיום</t>
  </si>
  <si>
    <t>new_dt_enddate</t>
  </si>
  <si>
    <t>מספר מדינות כולל מוקדמות</t>
  </si>
  <si>
    <t>new_i_countriesnumincludingqualifiers</t>
  </si>
  <si>
    <t>מיקום משוקלל באליפות</t>
  </si>
  <si>
    <t>new_i_summeduppositioninchampionship</t>
  </si>
  <si>
    <t>new_branchtoaccounts</t>
  </si>
  <si>
    <t>ענף לאיגוד</t>
  </si>
  <si>
    <t>branch_to_account_code</t>
  </si>
  <si>
    <t>קוד ענף לאיגוד במערכת CRM</t>
  </si>
  <si>
    <t>new_branchtoaccountid</t>
  </si>
  <si>
    <t>branch_to_account_name</t>
  </si>
  <si>
    <t>שם ענף לאיגוד</t>
  </si>
  <si>
    <t>מפתח לאיגוד במערכת CRM</t>
  </si>
  <si>
    <t>_new_id_account_value</t>
  </si>
  <si>
    <t>מפתח לענף במערכת CRM</t>
  </si>
  <si>
    <t>_new_branch_value</t>
  </si>
  <si>
    <t>personal_or_group_branch</t>
  </si>
  <si>
    <t>קבוצתי או אישי</t>
  </si>
  <si>
    <t>new_pl_branchtype_label</t>
  </si>
  <si>
    <t>is_include_sub_branch</t>
  </si>
  <si>
    <t>האם תת ענף</t>
  </si>
  <si>
    <t>new_b_includessubbranches_label</t>
  </si>
  <si>
    <t>new_b_branchwithspecialneeds_label</t>
  </si>
  <si>
    <t>שם איגוד</t>
  </si>
  <si>
    <t>_new_id_account_value_label</t>
  </si>
  <si>
    <t>_new_branch_value_label</t>
  </si>
  <si>
    <t>new_aa_leagues</t>
  </si>
  <si>
    <t>ליגה (אגודות)</t>
  </si>
  <si>
    <t>league_code</t>
  </si>
  <si>
    <t>קוד ליגה במערכת CRM</t>
  </si>
  <si>
    <t>new_aa_leagueid</t>
  </si>
  <si>
    <t>league_name</t>
  </si>
  <si>
    <t>שם ליגה</t>
  </si>
  <si>
    <t>request_support_code</t>
  </si>
  <si>
    <t>מפתח לבקשת תמיכה במערכת CRM</t>
  </si>
  <si>
    <t>_new_id_requestsupport_value</t>
  </si>
  <si>
    <t>league_type</t>
  </si>
  <si>
    <t>סוג ליגה</t>
  </si>
  <si>
    <t>_new_id_leaguetype_value_label</t>
  </si>
  <si>
    <t>new_societyunions
incremental</t>
  </si>
  <si>
    <t>new_societyunions</t>
  </si>
  <si>
    <t>society_union_code</t>
  </si>
  <si>
    <t xml:space="preserve">קוד </t>
  </si>
  <si>
    <t>new_societyunionid</t>
  </si>
  <si>
    <t>מפתח לאגודה במערכת CRM</t>
  </si>
  <si>
    <t>_new_id_society_value</t>
  </si>
  <si>
    <t>מספר אגודה - מזהה</t>
  </si>
  <si>
    <t>מפתח לבקשת תמיכה מערכת CRM</t>
  </si>
  <si>
    <t>new_t_associationname</t>
  </si>
  <si>
    <t>מפתח לרשות מקומית במערכת CRM</t>
  </si>
  <si>
    <t>is_pass_admin_condition</t>
  </si>
  <si>
    <t>האם עומד בתנאי סף מנהלתיים</t>
  </si>
  <si>
    <t>new_pl_passadminthresholdcondition_label</t>
  </si>
  <si>
    <t>is_pass_professional_condition</t>
  </si>
  <si>
    <t>האם עומד בתנאי סף מקצועיים</t>
  </si>
  <si>
    <t>new_pl_passprofessionalthresholdcondition_label</t>
  </si>
  <si>
    <t>is_pass_threshold_condition</t>
  </si>
  <si>
    <t>סטטוס תנאי סף - כן/לא</t>
  </si>
  <si>
    <t>new_pl_passthresholdcondition_label</t>
  </si>
  <si>
    <t>new_europehampionshipforteams</t>
  </si>
  <si>
    <t>קבוצות אליפות אירופה (אגודות)</t>
  </si>
  <si>
    <t>europe_champion_team_code</t>
  </si>
  <si>
    <t>קוד קבוצה אירופה במערכת CRM</t>
  </si>
  <si>
    <t>new_europehampionshipforteamid</t>
  </si>
  <si>
    <t>europe_champion_score</t>
  </si>
  <si>
    <t>ניקוד אליפות אירופה</t>
  </si>
  <si>
    <t>new_i_europeanchampionshipscoresforteams</t>
  </si>
  <si>
    <t>team_code</t>
  </si>
  <si>
    <t>מפתח קבוצה במערכת CRM</t>
  </si>
  <si>
    <t>_new_id_teamname_value</t>
  </si>
  <si>
    <t>מפתח לגילאים במערכת CRM</t>
  </si>
  <si>
    <t>_new_id_ag_europehampionshipforteam_value</t>
  </si>
  <si>
    <t>מפתח אגודה במערכת CRM</t>
  </si>
  <si>
    <t>europe_champion_name</t>
  </si>
  <si>
    <t>שם אליפות אירופה</t>
  </si>
  <si>
    <t>new_t_championshipname</t>
  </si>
  <si>
    <t>europe_champion_team_name_num</t>
  </si>
  <si>
    <t>שם ומספר קבוצה אירופה</t>
  </si>
  <si>
    <t>_new_id_teamname_value_label</t>
  </si>
  <si>
    <t>europe_competition_date</t>
  </si>
  <si>
    <t>תאריך אליפות</t>
  </si>
  <si>
    <t>new_d_competitionenddate</t>
  </si>
  <si>
    <t>europe_champion_gender</t>
  </si>
  <si>
    <t>new_teams</t>
  </si>
  <si>
    <t>קבוצה (אגודות)</t>
  </si>
  <si>
    <t>קוד קבוצה במערכת CRM</t>
  </si>
  <si>
    <t>new_teamid</t>
  </si>
  <si>
    <t>מזהה אגודה</t>
  </si>
  <si>
    <t>מספר קבוצה</t>
  </si>
  <si>
    <t>new_i_teamnumber</t>
  </si>
  <si>
    <t>team_achievement_score</t>
  </si>
  <si>
    <t>תוספת הישגיות</t>
  </si>
  <si>
    <t>new_d_addedachievementscore</t>
  </si>
  <si>
    <t>מפתח ליגה במערכת CRM</t>
  </si>
  <si>
    <t>_new_id_league_value</t>
  </si>
  <si>
    <t>team_name</t>
  </si>
  <si>
    <t>שם קבוצה</t>
  </si>
  <si>
    <t>new_t_teamname</t>
  </si>
  <si>
    <t>מפתח לאגודות בבקשה במערכת CRM</t>
  </si>
  <si>
    <t>_new_id_associationinsupportrequest_value</t>
  </si>
  <si>
    <t>עבר תנאי סף? כן / לא</t>
  </si>
  <si>
    <t>new_pl_meetsthresholdconditions_label</t>
  </si>
  <si>
    <t>is_pass_special_threshold_condition</t>
  </si>
  <si>
    <t>עבר תנאי סף מיוחדים? כן / לא</t>
  </si>
  <si>
    <t>new_b_meetsthresholdconditionsforgroups_label</t>
  </si>
  <si>
    <t>new_supportrequests
incremental</t>
  </si>
  <si>
    <t xml:space="preserve">בקשות תמיכה לפי שנים </t>
  </si>
  <si>
    <t>new_supportrequests</t>
  </si>
  <si>
    <t>new_supportrequestid</t>
  </si>
  <si>
    <t>מפתח לאיגוד</t>
  </si>
  <si>
    <t>new_n_accountnumber</t>
  </si>
  <si>
    <t>_new_id_branch_value</t>
  </si>
  <si>
    <t>מפתח לענף לאיגוד במערכת CRM</t>
  </si>
  <si>
    <t>_new_id_branchtoaccount_value</t>
  </si>
  <si>
    <t>new_t_providernumber</t>
  </si>
  <si>
    <t>_new_accountid_value</t>
  </si>
  <si>
    <t>team_score</t>
  </si>
  <si>
    <t>ניקוד קבוצה?</t>
  </si>
  <si>
    <t>new_d_totalteamscore</t>
  </si>
  <si>
    <t>athlet_score</t>
  </si>
  <si>
    <t>סה"כ ניקוד לספורטאים</t>
  </si>
  <si>
    <t>new_i_athletestotalscore</t>
  </si>
  <si>
    <t>_new_id_branch_value_label</t>
  </si>
  <si>
    <t>support_request_year</t>
  </si>
  <si>
    <t>שנת תמיכה</t>
  </si>
  <si>
    <t>_new_id_supportedyear_value_label</t>
  </si>
  <si>
    <t>assessment_year</t>
  </si>
  <si>
    <t>שנת הערכה</t>
  </si>
  <si>
    <t>new_n_assessmentyear</t>
  </si>
  <si>
    <t>professional_score</t>
  </si>
  <si>
    <t>ניקוד מקצועיות</t>
  </si>
  <si>
    <t>new_i_totalprofessionalismscore</t>
  </si>
  <si>
    <t>coach_association_score</t>
  </si>
  <si>
    <t>ניקוד ליווי העסקת מאמנים באגודות</t>
  </si>
  <si>
    <t>new_i_totalscoreaccompanyempcoachesmaleassoc</t>
  </si>
  <si>
    <t>branch_cost_score</t>
  </si>
  <si>
    <t>ניקוד עלות הפעלת ענף</t>
  </si>
  <si>
    <t>new_i_totalbranchcostscore</t>
  </si>
  <si>
    <t>women_promotion_score</t>
  </si>
  <si>
    <t>ניקוד קידום ספורט נשים</t>
  </si>
  <si>
    <t>new_i_totalwomenssportspromotionscore</t>
  </si>
  <si>
    <t>excellent_center_score</t>
  </si>
  <si>
    <t>ניקוד מרכזי מצויינות</t>
  </si>
  <si>
    <t>new_d_totalcenterofexcellence</t>
  </si>
  <si>
    <t>achievement_score</t>
  </si>
  <si>
    <t>ניקוד הישגיות</t>
  </si>
  <si>
    <t>new_i_totalachievementscore</t>
  </si>
  <si>
    <t>europe_champ_score</t>
  </si>
  <si>
    <t>ניקוד אליפות אירופה לקבוצה</t>
  </si>
  <si>
    <t>new_i_europehampionshipforteamtotalscoring</t>
  </si>
  <si>
    <t>facility_usage_score</t>
  </si>
  <si>
    <t>ניקוד שימוש במתקנים</t>
  </si>
  <si>
    <t>new_i_facilityusagescore</t>
  </si>
  <si>
    <t>עומד בתנאי סף מקצועיים - כן או לא</t>
  </si>
  <si>
    <t>עומד בתנאי סף מנהלתיים - כן או לא</t>
  </si>
  <si>
    <t>new_pl_meetsadministrativethresholdconditions_label</t>
  </si>
  <si>
    <t>עבר תנאי סף? עבר / לא עבר</t>
  </si>
  <si>
    <t>new_pl_thresholdconditionstatus_label</t>
  </si>
  <si>
    <t>is_pass_threshold_condition_to_score</t>
  </si>
  <si>
    <t xml:space="preserve">עומד בתנאי סף לניקוד? </t>
  </si>
  <si>
    <t>new_pl_scoring_threshold</t>
  </si>
  <si>
    <t>new_athletesinsupportingrequests
incremental</t>
  </si>
  <si>
    <t>new_athletesinsupportingrequests</t>
  </si>
  <si>
    <t>new_athletesinsupportingrequestid</t>
  </si>
  <si>
    <t>athlete_code</t>
  </si>
  <si>
    <t>מפתח לספורטאי במערכת CRM</t>
  </si>
  <si>
    <t>_new_id_athlete_value</t>
  </si>
  <si>
    <t>athlete_gender</t>
  </si>
  <si>
    <t>מגדר הספורטאי</t>
  </si>
  <si>
    <t>athlete_final_score</t>
  </si>
  <si>
    <t>ניקוד ספורטאים אגודות</t>
  </si>
  <si>
    <t>new_i_finalscoreforathlete</t>
  </si>
  <si>
    <t>מפתח לקבוצה במערכת CRM</t>
  </si>
  <si>
    <t>_new_id_team_value</t>
  </si>
  <si>
    <t>birth_year</t>
  </si>
  <si>
    <t>שנת לידה</t>
  </si>
  <si>
    <t>new_i_birthyear</t>
  </si>
  <si>
    <t>athlete_id</t>
  </si>
  <si>
    <t>מזהה ספורטאי בבקשת תמיכה</t>
  </si>
  <si>
    <t>new_t_identificationnumber</t>
  </si>
  <si>
    <t>athlete_support_first_name</t>
  </si>
  <si>
    <t>new_t_firstname</t>
  </si>
  <si>
    <t>athlete_support_last_name</t>
  </si>
  <si>
    <t>new_lastname</t>
  </si>
  <si>
    <t>athlete_support_full_name</t>
  </si>
  <si>
    <t>שם מלא</t>
  </si>
  <si>
    <t>_new_id_athlete_value_label</t>
  </si>
  <si>
    <t>athlete_age_category</t>
  </si>
  <si>
    <t>קטגוריית גיל ספורטאי</t>
  </si>
  <si>
    <t>_new_id_athleteage_value_label</t>
  </si>
  <si>
    <t>athlete_has_insurance</t>
  </si>
  <si>
    <t>האם לספורטאי יש ביטוח - כן/לא</t>
  </si>
  <si>
    <t>new_pl_insurance_label</t>
  </si>
  <si>
    <t>athlete_has_medical_check</t>
  </si>
  <si>
    <t>האם עבר בדיקה רפואית - כן/לא</t>
  </si>
  <si>
    <t>new_pl_medicalexamination_label</t>
  </si>
  <si>
    <t>עבר תנאי סף? כן/לא</t>
  </si>
  <si>
    <t>dashboard_id</t>
  </si>
  <si>
    <t>מזהה הדשבורד ב-QuickSight</t>
  </si>
  <si>
    <t>CloudTrail</t>
  </si>
  <si>
    <t>lookup_events (GetDashboard)</t>
  </si>
  <si>
    <t>serviceEventDetails.eventRequestDetails.dashboardId</t>
  </si>
  <si>
    <t>חילוץ ה-GUID שאחרי "dashboard/" מתוך ה-ARN. עבור דשבורד שקיים ולא נצפה - נלקח מ-list_dashboards.DashboardId</t>
  </si>
  <si>
    <t>dashboard_arn</t>
  </si>
  <si>
    <t>מזהה AWS מלא של הדשבורד</t>
  </si>
  <si>
    <t>QuickSight API</t>
  </si>
  <si>
    <t>list_dashboards</t>
  </si>
  <si>
    <t>Arn</t>
  </si>
  <si>
    <t>COALESCE עם ה-ARN שנרשם בצפייה האחרונה ב-CloudTrail</t>
  </si>
  <si>
    <t>dashboard_name</t>
  </si>
  <si>
    <t>שם הדשבורד</t>
  </si>
  <si>
    <t>Name</t>
  </si>
  <si>
    <t>COALESCE עם dashboardName מהצפייה האחרונה. כאשר שניהם ריקים - UNKNOWN בתוספת 8 תווי ה-GUID</t>
  </si>
  <si>
    <t>dashboard_display</t>
  </si>
  <si>
    <t>שם לתצוגה בדוח</t>
  </si>
  <si>
    <t>dashboard_name, dashboard_id, name_duplicate_count</t>
  </si>
  <si>
    <t>השם כפי שהוא. כאשר קיימים כמה דשבורדים בעלי אותו שם מתווספת סיומת של 8 תווי ה-GUID לצורך הבחנה</t>
  </si>
  <si>
    <t>dashboard_family</t>
  </si>
  <si>
    <t>קיבוץ לוגי של גרסאות הדשבורד</t>
  </si>
  <si>
    <t>נרמול השם: הסרת קידומת UAT_, הסרת תוכן בסוגריים, הסרת סיומת "- ישן", הסרת קידומת "דשבורד", כיווץ רווחים. לאחר מכן החלפה לפי טבלת אליאסים ידנית</t>
  </si>
  <si>
    <t>env_type</t>
  </si>
  <si>
    <t>סביבת הדשבורד</t>
  </si>
  <si>
    <t>DEV-UAT כאשר השם מתחיל ב-UAT או מכיל dev / etl / check / בדיקות. DEPRECATED כאשר מכיל ישן / old / deprecated. אחרת PROD</t>
  </si>
  <si>
    <t>subject_domain</t>
  </si>
  <si>
    <t>תחום התוכן של הדשבורד</t>
  </si>
  <si>
    <t>סיווג לפי מילות מפתח בשם: מתקנ, תקציב, איגוד, קולנוע, ספורט נשים, יישוב. ברירת מחדל "אחר"</t>
  </si>
  <si>
    <t>dashboard_still_exists</t>
  </si>
  <si>
    <t>boolean</t>
  </si>
  <si>
    <t>האם הדשבורד קיים כרגע או נמחק</t>
  </si>
  <si>
    <t>list_dashboards.DashboardId</t>
  </si>
  <si>
    <t>TRUE כאשר ה-GUID מופיע בצילום הקטלוג הנוכחי שנמשך מ-QuickSight API</t>
  </si>
  <si>
    <t>days_since_last_view</t>
  </si>
  <si>
    <t>ACTIVE עד 7 ימים, FADING עד 30, DORMANT עד 90, DEAD מעל 90, UNKNOWN כאשר לא נרשמו צפיות</t>
  </si>
  <si>
    <t>first_seen_ts</t>
  </si>
  <si>
    <t>מועד הצפייה הראשונה</t>
  </si>
  <si>
    <t>eventTime</t>
  </si>
  <si>
    <t>MIN של eventTime בקיבוץ לפי dashboard_id</t>
  </si>
  <si>
    <t>last_seen_ts</t>
  </si>
  <si>
    <t>מועד הצפייה האחרונה</t>
  </si>
  <si>
    <t>MAX של eventTime בקיבוץ לפי dashboard_id</t>
  </si>
  <si>
    <t>ימים מאז הצפייה האחרונה</t>
  </si>
  <si>
    <t>מועד ריצת ה-ETL פחות last_seen_ts, בימים, מעוגל לספרה אחת</t>
  </si>
  <si>
    <t>lifespan_days</t>
  </si>
  <si>
    <t>טווח החיים בימים</t>
  </si>
  <si>
    <t>first_seen_ts, last_seen_ts</t>
  </si>
  <si>
    <t>ההפרש בין last_seen_ts ל-first_seen_ts בימים</t>
  </si>
  <si>
    <t>total_views</t>
  </si>
  <si>
    <t>סך הצפיות בדשבורד</t>
  </si>
  <si>
    <t>eventID</t>
  </si>
  <si>
    <t>COUNT של אירועים ייחודיים בקיבוץ לפי dashboard_id. 0 עבור דשבורד שקיים בקטלוג ולא נצפה</t>
  </si>
  <si>
    <t>distinct_users_all_time</t>
  </si>
  <si>
    <t>משתמשים ייחודיים שצפו</t>
  </si>
  <si>
    <t>Username</t>
  </si>
  <si>
    <t>COUNT DISTINCT של המשתמש בקיבוץ לפי dashboard_id</t>
  </si>
  <si>
    <t>name_duplicate_count</t>
  </si>
  <si>
    <t>כמה דשבורדים נושאים אותו שם</t>
  </si>
  <si>
    <t>COUNT של רשומות בעלות אותו dashboard_name</t>
  </si>
  <si>
    <t>dashboards_in_family</t>
  </si>
  <si>
    <t>מספר הדשבורדים במשפחה</t>
  </si>
  <si>
    <t>COUNT של רשומות בעלות אותו dashboard_family</t>
  </si>
  <si>
    <t>is_primary_in_family</t>
  </si>
  <si>
    <t>האם זו הגרסה הפעילה במשפחה</t>
  </si>
  <si>
    <t>dashboard_family, last_seen_ts</t>
  </si>
  <si>
    <t>TRUE כאשר last_seen_ts הוא המקסימום בקרב רשומות אותה משפחה</t>
  </si>
  <si>
    <t>created_time</t>
  </si>
  <si>
    <t>מועד יצירת הדשבורד</t>
  </si>
  <si>
    <t>CreatedTime</t>
  </si>
  <si>
    <t>המרה ל-UTC</t>
  </si>
  <si>
    <t>last_updated_time</t>
  </si>
  <si>
    <t>מועד העדכון האחרון</t>
  </si>
  <si>
    <t>LastUpdatedTime</t>
  </si>
  <si>
    <t>last_published_time</t>
  </si>
  <si>
    <t>מועד הפרסום האחרון</t>
  </si>
  <si>
    <t>LastPublishedTime</t>
  </si>
  <si>
    <t>published_version_number</t>
  </si>
  <si>
    <t>מספר הגרסה המפורסמת</t>
  </si>
  <si>
    <t>PublishedVersionNumber</t>
  </si>
  <si>
    <t>etl_load_ts</t>
  </si>
  <si>
    <t>מועד ריצת ה-ETL</t>
  </si>
  <si>
    <t>חותמת זמן תחילת ריצת ה-Job</t>
  </si>
  <si>
    <t>מועד ריצת ה-ETL שייצר את השורה</t>
  </si>
  <si>
    <t>event_id</t>
  </si>
  <si>
    <t>מזהה אירוע הצפייה</t>
  </si>
  <si>
    <t>מזהה הדשבורד. מקשר ל-mrr_qs_dashboard</t>
  </si>
  <si>
    <t>חילוץ ה-GUID שאחרי "dashboard/" מתוך ה-ARN</t>
  </si>
  <si>
    <t>שם הדשבורד הנוכחי</t>
  </si>
  <si>
    <t>DWH</t>
  </si>
  <si>
    <t>mrr_qs_dashboard</t>
  </si>
  <si>
    <t>JOIN לפי dashboard_id. נלקח השם הנוכחי מהממד ולא השם שהיה בזמן הצפייה</t>
  </si>
  <si>
    <t>JOIN לפי dashboard_id</t>
  </si>
  <si>
    <t>qs_user</t>
  </si>
  <si>
    <t>המשתמש שצפה בדשבורד</t>
  </si>
  <si>
    <t>COALESCE עם userIdentity.principalId לאחר פיצול בתו ":"</t>
  </si>
  <si>
    <t>user_short</t>
  </si>
  <si>
    <t>שם המשתמש ללא הדומיין</t>
  </si>
  <si>
    <t>החלק שלפני התו "@"</t>
  </si>
  <si>
    <t>user_type</t>
  </si>
  <si>
    <t>פנימי / חיצוני</t>
  </si>
  <si>
    <t>חיצוני כאשר הכתובת מכילה ".ext@", אחרת "פנימי"</t>
  </si>
  <si>
    <t>is_service_account</t>
  </si>
  <si>
    <t>חשבון מכונה ולא אדם</t>
  </si>
  <si>
    <t>TRUE כאשר שם המשתמש תואם aws-go-sdk / WizAccess / aws-sdk. נדרש סינון ל-FALSE בכל ניתוח שימוש</t>
  </si>
  <si>
    <t>event_time_utc</t>
  </si>
  <si>
    <t>מועד הצפייה ב-UTC</t>
  </si>
  <si>
    <t>event_ts_il</t>
  </si>
  <si>
    <t>מועד הצפייה בשעון ישראל</t>
  </si>
  <si>
    <t>המרת אזור זמן מ-UTC ל-Asia/Jerusalem</t>
  </si>
  <si>
    <t>event_date</t>
  </si>
  <si>
    <t>תאריך הצפייה בשעון ישראל</t>
  </si>
  <si>
    <t>חלק התאריך</t>
  </si>
  <si>
    <t>event_hour</t>
  </si>
  <si>
    <t>שעת הצפייה בשעון ישראל</t>
  </si>
  <si>
    <t>חלק השעה</t>
  </si>
  <si>
    <t>duration_minutes</t>
  </si>
  <si>
    <t>אומדן משך השימוש בדקות</t>
  </si>
  <si>
    <t>qs_user, event_time_utc</t>
  </si>
  <si>
    <t>הפער עד אירוע הצפייה הבא של אותו משתמש, בחלון לפי משתמש ומסודר לפי זמן. ריק כאשר הפער עולה על 30 דקות או שאין אירוע עוקב. אומדן ולא מדידה - CloudTrail אינו רושם אירוע סגירה</t>
  </si>
  <si>
    <t>is_duration_estimated</t>
  </si>
  <si>
    <t>סימון שהמשך הוא הערכה</t>
  </si>
  <si>
    <t>קבוע TRUE</t>
  </si>
  <si>
    <t>is_last_in_session</t>
  </si>
  <si>
    <t>הצפייה האחרונה ב-session</t>
  </si>
  <si>
    <t>TRUE כאשר duration_minutes ריק</t>
  </si>
  <si>
    <t>session_id</t>
  </si>
  <si>
    <t>מזהה הפעלה</t>
  </si>
  <si>
    <t>qs_user, session_seq</t>
  </si>
  <si>
    <t>שרשור שם המשתמש, התו "#" ומספר ה-session</t>
  </si>
  <si>
    <t>session_seq</t>
  </si>
  <si>
    <t>מספר ה-session של המשתמש</t>
  </si>
  <si>
    <t>סכום רץ של is_session_start בחלון לפי משתמש ומסודר לפי זמן</t>
  </si>
  <si>
    <t>is_session_start</t>
  </si>
  <si>
    <t>האירוע שפתח את ה-session</t>
  </si>
  <si>
    <t>TRUE כאשר אין אירוע קודם לאותו משתמש או שהפער ממנו עולה על 30 דקות</t>
  </si>
  <si>
    <t>analysis_ids</t>
  </si>
  <si>
    <t>מזהי האנליזות שמאחורי הדשבורד</t>
  </si>
  <si>
    <t>serviceEventDetails.eventResponseDetails.dashboardDetails.analysisIdList</t>
  </si>
  <si>
    <t>חילוץ ה-GUID מכל ARN ברשימה ושרשור בפסיק</t>
  </si>
  <si>
    <t>dataset_ids</t>
  </si>
  <si>
    <t>מזהי ה-Datasets שמזינים את הדשבורד</t>
  </si>
  <si>
    <t>serviceEventDetails.eventResponseDetails.dashboardDetails.dataSetIdList</t>
  </si>
  <si>
    <t>new_supporttesttypes</t>
  </si>
  <si>
    <t>support_test_type_code</t>
  </si>
  <si>
    <t>קוד סוג מבחן תמיכה</t>
  </si>
  <si>
    <t>new_supporttesttypeid</t>
  </si>
  <si>
    <t>support_test</t>
  </si>
  <si>
    <t>מבחן תמיכה</t>
  </si>
  <si>
    <t>new_t_supporttest</t>
  </si>
  <si>
    <t>support_year</t>
  </si>
  <si>
    <t>permission_system_code</t>
  </si>
  <si>
    <t>מערכת</t>
  </si>
  <si>
    <t>_new_id_system_value_label</t>
  </si>
  <si>
    <t>test_type</t>
  </si>
  <si>
    <t>קוד סוג מבחן</t>
  </si>
  <si>
    <t>new_i_testtype</t>
  </si>
  <si>
    <t>main_entity_centralizes_data_to_test_scores</t>
  </si>
  <si>
    <t>ישות ראשית המרכזת ציוני מבחנים</t>
  </si>
  <si>
    <t>_new_id_mainentitcentralizesdatatotestscores_value_label</t>
  </si>
  <si>
    <t>new_allocationbudgetstoareaandmeasurements</t>
  </si>
  <si>
    <t>allocation_budget_code</t>
  </si>
  <si>
    <t>קוד הקצאת תקציב</t>
  </si>
  <si>
    <t>new_allocationbudgetstoareaandmeasurementid</t>
  </si>
  <si>
    <t>קוד מבחן תמיכה</t>
  </si>
  <si>
    <t>_new_id_supporttesttype_value</t>
  </si>
  <si>
    <t>שנת מבחן</t>
  </si>
  <si>
    <t>goal_type</t>
  </si>
  <si>
    <t>סוג ייעוד</t>
  </si>
  <si>
    <t>new_pl_goaltype_label</t>
  </si>
  <si>
    <t>area_name</t>
  </si>
  <si>
    <t>ייעוד תחום</t>
  </si>
  <si>
    <t>_new_id_areainsupporttest_value_label</t>
  </si>
  <si>
    <t>measurement_for_area</t>
  </si>
  <si>
    <t>יעוד אמת מידה</t>
  </si>
  <si>
    <t>_new_id_measurementforarea_value_label</t>
  </si>
  <si>
    <t>percent</t>
  </si>
  <si>
    <t xml:space="preserve">אחוז </t>
  </si>
  <si>
    <t>new_d_percent</t>
  </si>
  <si>
    <t>allocation_budget_amount</t>
  </si>
  <si>
    <t>סכום תקציב</t>
  </si>
  <si>
    <t>new_d_budgetamount</t>
  </si>
  <si>
    <t>budget_frame_name</t>
  </si>
  <si>
    <t>מסגרת תקציב</t>
  </si>
  <si>
    <t>_new_id_budgetframe_value_label</t>
  </si>
  <si>
    <t>budget_setting_type</t>
  </si>
  <si>
    <t>סוג מסגרת תקציב</t>
  </si>
  <si>
    <t>_new_id_budgetsettingtype_value_label</t>
  </si>
  <si>
    <t>table name</t>
  </si>
  <si>
    <t>new_groupialbranchachievementse</t>
  </si>
  <si>
    <t>new_athletesinsupportingrequest</t>
  </si>
  <si>
    <t>Sources</t>
  </si>
  <si>
    <t>DL.ivc</t>
  </si>
  <si>
    <t>DL.cb</t>
  </si>
  <si>
    <t>System</t>
  </si>
  <si>
    <t>Categories</t>
  </si>
  <si>
    <t>Category1</t>
  </si>
  <si>
    <t>Category2</t>
  </si>
  <si>
    <t>Versions</t>
  </si>
  <si>
    <t>Core 1.1</t>
  </si>
  <si>
    <t>Extention</t>
  </si>
  <si>
    <t>STT Statuses</t>
  </si>
  <si>
    <t>Ready for Review</t>
  </si>
  <si>
    <t>In Review</t>
  </si>
  <si>
    <t>On Hold</t>
  </si>
  <si>
    <t>Done</t>
  </si>
  <si>
    <t>ETL Statuses</t>
  </si>
  <si>
    <t>Dev Done</t>
  </si>
  <si>
    <t>Prod Done</t>
  </si>
  <si>
    <t>Statuses</t>
  </si>
  <si>
    <t>Data Types</t>
  </si>
  <si>
    <t>Snowflake Data Types</t>
  </si>
  <si>
    <t>variant</t>
  </si>
  <si>
    <t>object</t>
  </si>
  <si>
    <t>array</t>
  </si>
  <si>
    <t>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</si>
</sst>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8">
    <font>
      <sz val="10"/>
      <color rgb="FF000000"/>
      <name val="Arial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rgb="FF008000"/>
      <name val="Inconsolata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FFFFFF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10"/>
      <name val="Calibri"/>
      <family val="2"/>
    </font>
    <font>
      <sz val="11"/>
      <color rgb="FF008000"/>
      <name val="Calibri"/>
      <family val="2"/>
    </font>
    <font>
      <sz val="8"/>
      <name val="Arial"/>
      <family val="2"/>
      <scheme val="minor"/>
    </font>
    <font>
      <sz val="8"/>
      <name val="Arial"/>
      <family val="2"/>
      <scheme val="minor"/>
    </font>
    <font>
      <u/>
      <sz val="10"/>
      <color theme="10"/>
      <name val="Arial"/>
      <scheme val="minor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Arial"/>
      <family val="2"/>
      <scheme val="minor"/>
    </font>
    <font>
      <sz val="8"/>
      <name val="Arial"/>
      <scheme val="minor"/>
    </font>
    <font>
      <strike/>
      <sz val="10"/>
      <color theme="1"/>
      <name val="Calibri"/>
      <family val="2"/>
    </font>
    <font>
      <strike/>
      <sz val="10"/>
      <color theme="1"/>
      <name val="Arial"/>
      <family val="2"/>
    </font>
    <font>
      <strike/>
      <sz val="11"/>
      <color rgb="FF008000"/>
      <name val="Calibri"/>
      <family val="2"/>
    </font>
    <font>
      <strike/>
      <sz val="10"/>
      <color rgb="FF000000"/>
      <name val="Arial"/>
      <family val="2"/>
      <scheme val="minor"/>
    </font>
    <font>
      <strike/>
      <sz val="10"/>
      <color rgb="FF000000"/>
      <name val="Calibri"/>
      <family val="2"/>
    </font>
    <font>
      <strike/>
      <sz val="10"/>
      <color rgb="FF000000"/>
      <name val="Arial"/>
      <scheme val="minor"/>
    </font>
    <font>
      <sz val="10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4285F4"/>
        <bgColor rgb="FF4285F4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rgb="FFFCE5CD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2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textRotation="255"/>
    </xf>
    <xf numFmtId="0" fontId="1" fillId="5" borderId="1" xfId="0" applyFont="1" applyFill="1" applyBorder="1"/>
    <xf numFmtId="0" fontId="1" fillId="7" borderId="1" xfId="0" applyFont="1" applyFill="1" applyBorder="1"/>
    <xf numFmtId="0" fontId="4" fillId="11" borderId="11" xfId="0" applyFont="1" applyFill="1" applyBorder="1"/>
    <xf numFmtId="0" fontId="3" fillId="0" borderId="0" xfId="0" applyFont="1"/>
    <xf numFmtId="0" fontId="1" fillId="0" borderId="1" xfId="0" applyFont="1" applyBorder="1"/>
    <xf numFmtId="0" fontId="3" fillId="0" borderId="1" xfId="0" applyFont="1" applyBorder="1"/>
    <xf numFmtId="0" fontId="1" fillId="10" borderId="13" xfId="0" applyFont="1" applyFill="1" applyBorder="1" applyAlignment="1">
      <alignment vertical="top" wrapText="1"/>
    </xf>
    <xf numFmtId="0" fontId="8" fillId="9" borderId="1" xfId="0" applyFont="1" applyFill="1" applyBorder="1" applyAlignment="1">
      <alignment horizontal="center"/>
    </xf>
    <xf numFmtId="0" fontId="12" fillId="11" borderId="2" xfId="0" applyFont="1" applyFill="1" applyBorder="1"/>
    <xf numFmtId="0" fontId="6" fillId="5" borderId="1" xfId="0" applyFont="1" applyFill="1" applyBorder="1"/>
    <xf numFmtId="0" fontId="6" fillId="7" borderId="1" xfId="0" applyFont="1" applyFill="1" applyBorder="1"/>
    <xf numFmtId="0" fontId="12" fillId="11" borderId="6" xfId="0" applyFont="1" applyFill="1" applyBorder="1"/>
    <xf numFmtId="0" fontId="6" fillId="10" borderId="13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8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5" fillId="0" borderId="0" xfId="0" applyFont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4" borderId="13" xfId="0" applyFont="1" applyFill="1" applyBorder="1" applyAlignment="1">
      <alignment vertical="top" wrapText="1"/>
    </xf>
    <xf numFmtId="0" fontId="1" fillId="4" borderId="13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6" fillId="2" borderId="1" xfId="0" applyFont="1" applyFill="1" applyBorder="1" applyAlignment="1">
      <alignment vertical="top"/>
    </xf>
    <xf numFmtId="0" fontId="7" fillId="3" borderId="0" xfId="0" applyFont="1" applyFill="1" applyAlignment="1">
      <alignment vertical="top"/>
    </xf>
    <xf numFmtId="0" fontId="8" fillId="0" borderId="2" xfId="0" applyFont="1" applyBorder="1" applyAlignment="1">
      <alignment vertical="top"/>
    </xf>
    <xf numFmtId="0" fontId="6" fillId="0" borderId="0" xfId="0" applyFont="1" applyAlignment="1">
      <alignment horizontal="center" vertical="top"/>
    </xf>
    <xf numFmtId="0" fontId="6" fillId="10" borderId="13" xfId="0" applyFont="1" applyFill="1" applyBorder="1" applyAlignment="1">
      <alignment horizontal="center" vertical="top"/>
    </xf>
    <xf numFmtId="0" fontId="6" fillId="10" borderId="1" xfId="0" applyFont="1" applyFill="1" applyBorder="1" applyAlignment="1">
      <alignment vertical="top"/>
    </xf>
    <xf numFmtId="0" fontId="6" fillId="10" borderId="13" xfId="0" applyFont="1" applyFill="1" applyBorder="1" applyAlignment="1">
      <alignment vertical="top"/>
    </xf>
    <xf numFmtId="0" fontId="6" fillId="10" borderId="1" xfId="0" applyFont="1" applyFill="1" applyBorder="1" applyAlignment="1">
      <alignment horizontal="center" vertical="top"/>
    </xf>
    <xf numFmtId="0" fontId="6" fillId="10" borderId="11" xfId="0" applyFont="1" applyFill="1" applyBorder="1" applyAlignment="1">
      <alignment vertical="top"/>
    </xf>
    <xf numFmtId="0" fontId="1" fillId="10" borderId="11" xfId="0" applyFont="1" applyFill="1" applyBorder="1" applyAlignment="1">
      <alignment vertical="top"/>
    </xf>
    <xf numFmtId="0" fontId="1" fillId="10" borderId="1" xfId="0" applyFont="1" applyFill="1" applyBorder="1" applyAlignment="1">
      <alignment vertical="top"/>
    </xf>
    <xf numFmtId="0" fontId="1" fillId="10" borderId="1" xfId="0" applyFont="1" applyFill="1" applyBorder="1" applyAlignment="1">
      <alignment horizontal="center" vertical="top"/>
    </xf>
    <xf numFmtId="0" fontId="6" fillId="5" borderId="15" xfId="0" applyFont="1" applyFill="1" applyBorder="1"/>
    <xf numFmtId="0" fontId="6" fillId="7" borderId="13" xfId="0" applyFont="1" applyFill="1" applyBorder="1"/>
    <xf numFmtId="0" fontId="6" fillId="7" borderId="15" xfId="0" applyFont="1" applyFill="1" applyBorder="1"/>
    <xf numFmtId="0" fontId="5" fillId="0" borderId="0" xfId="0" applyFont="1" applyAlignment="1">
      <alignment vertical="top" wrapText="1"/>
    </xf>
    <xf numFmtId="0" fontId="6" fillId="6" borderId="13" xfId="0" applyFont="1" applyFill="1" applyBorder="1"/>
    <xf numFmtId="0" fontId="6" fillId="4" borderId="13" xfId="0" applyFont="1" applyFill="1" applyBorder="1" applyAlignment="1">
      <alignment vertical="top"/>
    </xf>
    <xf numFmtId="0" fontId="6" fillId="4" borderId="15" xfId="0" applyFont="1" applyFill="1" applyBorder="1" applyAlignment="1">
      <alignment vertical="top"/>
    </xf>
    <xf numFmtId="0" fontId="6" fillId="4" borderId="13" xfId="0" applyFont="1" applyFill="1" applyBorder="1" applyAlignment="1">
      <alignment horizontal="left" vertical="top" wrapText="1"/>
    </xf>
    <xf numFmtId="0" fontId="1" fillId="6" borderId="13" xfId="0" applyFont="1" applyFill="1" applyBorder="1"/>
    <xf numFmtId="0" fontId="11" fillId="0" borderId="15" xfId="0" applyFont="1" applyBorder="1"/>
    <xf numFmtId="0" fontId="1" fillId="5" borderId="15" xfId="0" applyFont="1" applyFill="1" applyBorder="1"/>
    <xf numFmtId="0" fontId="6" fillId="6" borderId="14" xfId="0" applyFont="1" applyFill="1" applyBorder="1"/>
    <xf numFmtId="0" fontId="6" fillId="6" borderId="14" xfId="0" applyFont="1" applyFill="1" applyBorder="1" applyAlignment="1">
      <alignment horizontal="left"/>
    </xf>
    <xf numFmtId="0" fontId="0" fillId="12" borderId="0" xfId="0" applyFill="1" applyAlignment="1">
      <alignment vertical="top"/>
    </xf>
    <xf numFmtId="0" fontId="5" fillId="10" borderId="1" xfId="0" applyFont="1" applyFill="1" applyBorder="1" applyAlignment="1">
      <alignment vertical="top"/>
    </xf>
    <xf numFmtId="0" fontId="5" fillId="10" borderId="11" xfId="0" applyFont="1" applyFill="1" applyBorder="1" applyAlignment="1">
      <alignment vertical="top"/>
    </xf>
    <xf numFmtId="0" fontId="5" fillId="10" borderId="15" xfId="0" applyFont="1" applyFill="1" applyBorder="1" applyAlignment="1">
      <alignment vertical="top"/>
    </xf>
    <xf numFmtId="0" fontId="5" fillId="10" borderId="15" xfId="0" applyFont="1" applyFill="1" applyBorder="1" applyAlignment="1">
      <alignment horizontal="center" vertical="top"/>
    </xf>
    <xf numFmtId="0" fontId="5" fillId="10" borderId="8" xfId="0" applyFont="1" applyFill="1" applyBorder="1" applyAlignment="1">
      <alignment vertical="top"/>
    </xf>
    <xf numFmtId="0" fontId="5" fillId="10" borderId="8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vertical="top" wrapText="1"/>
    </xf>
    <xf numFmtId="0" fontId="5" fillId="4" borderId="11" xfId="0" applyFont="1" applyFill="1" applyBorder="1" applyAlignment="1">
      <alignment horizontal="left" vertical="top" wrapText="1"/>
    </xf>
    <xf numFmtId="0" fontId="12" fillId="11" borderId="2" xfId="0" applyFont="1" applyFill="1" applyBorder="1" applyAlignment="1">
      <alignment wrapText="1"/>
    </xf>
    <xf numFmtId="0" fontId="6" fillId="10" borderId="15" xfId="0" applyFont="1" applyFill="1" applyBorder="1" applyAlignment="1">
      <alignment vertical="top"/>
    </xf>
    <xf numFmtId="0" fontId="6" fillId="10" borderId="15" xfId="0" applyFont="1" applyFill="1" applyBorder="1" applyAlignment="1">
      <alignment horizontal="center" vertical="top"/>
    </xf>
    <xf numFmtId="0" fontId="5" fillId="10" borderId="1" xfId="0" applyFont="1" applyFill="1" applyBorder="1" applyAlignment="1">
      <alignment vertical="top" wrapText="1" readingOrder="2"/>
    </xf>
    <xf numFmtId="0" fontId="6" fillId="4" borderId="1" xfId="0" applyFont="1" applyFill="1" applyBorder="1" applyAlignment="1">
      <alignment horizontal="right" vertical="top" wrapText="1"/>
    </xf>
    <xf numFmtId="0" fontId="5" fillId="10" borderId="11" xfId="0" applyFont="1" applyFill="1" applyBorder="1" applyAlignment="1">
      <alignment horizontal="center" vertical="top"/>
    </xf>
    <xf numFmtId="0" fontId="5" fillId="10" borderId="1" xfId="0" applyFont="1" applyFill="1" applyBorder="1" applyAlignment="1">
      <alignment horizontal="right" vertical="top" readingOrder="2"/>
    </xf>
    <xf numFmtId="0" fontId="5" fillId="10" borderId="11" xfId="0" applyFont="1" applyFill="1" applyBorder="1" applyAlignment="1">
      <alignment horizontal="right" vertical="top" readingOrder="2"/>
    </xf>
    <xf numFmtId="0" fontId="5" fillId="10" borderId="11" xfId="0" applyFont="1" applyFill="1" applyBorder="1" applyAlignment="1">
      <alignment horizontal="right" vertical="top"/>
    </xf>
    <xf numFmtId="0" fontId="5" fillId="2" borderId="1" xfId="0" applyFont="1" applyFill="1" applyBorder="1" applyAlignment="1">
      <alignment vertical="top"/>
    </xf>
    <xf numFmtId="0" fontId="16" fillId="0" borderId="2" xfId="0" applyFont="1" applyBorder="1" applyAlignment="1">
      <alignment vertical="top"/>
    </xf>
    <xf numFmtId="0" fontId="16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5" fillId="0" borderId="0" xfId="0" applyFont="1" applyAlignment="1">
      <alignment horizontal="center" vertical="top"/>
    </xf>
    <xf numFmtId="0" fontId="16" fillId="9" borderId="1" xfId="0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 vertical="top"/>
    </xf>
    <xf numFmtId="0" fontId="5" fillId="10" borderId="13" xfId="0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5" fillId="4" borderId="13" xfId="0" applyFont="1" applyFill="1" applyBorder="1" applyAlignment="1">
      <alignment vertical="top" wrapText="1"/>
    </xf>
    <xf numFmtId="0" fontId="5" fillId="4" borderId="1" xfId="0" applyFont="1" applyFill="1" applyBorder="1" applyAlignment="1">
      <alignment wrapText="1"/>
    </xf>
    <xf numFmtId="0" fontId="5" fillId="4" borderId="13" xfId="0" applyFont="1" applyFill="1" applyBorder="1" applyAlignment="1">
      <alignment wrapText="1"/>
    </xf>
    <xf numFmtId="0" fontId="5" fillId="10" borderId="1" xfId="0" applyFont="1" applyFill="1" applyBorder="1" applyAlignment="1">
      <alignment horizontal="center" vertical="top"/>
    </xf>
    <xf numFmtId="0" fontId="5" fillId="10" borderId="13" xfId="0" applyFont="1" applyFill="1" applyBorder="1" applyAlignment="1">
      <alignment vertical="top" wrapText="1"/>
    </xf>
    <xf numFmtId="0" fontId="5" fillId="10" borderId="13" xfId="0" applyFont="1" applyFill="1" applyBorder="1" applyAlignment="1">
      <alignment vertical="top" wrapText="1" readingOrder="2"/>
    </xf>
    <xf numFmtId="0" fontId="5" fillId="10" borderId="1" xfId="0" applyFont="1" applyFill="1" applyBorder="1" applyAlignment="1">
      <alignment wrapText="1"/>
    </xf>
    <xf numFmtId="0" fontId="5" fillId="10" borderId="11" xfId="0" applyFont="1" applyFill="1" applyBorder="1"/>
    <xf numFmtId="0" fontId="19" fillId="10" borderId="11" xfId="0" applyFont="1" applyFill="1" applyBorder="1" applyAlignment="1">
      <alignment vertical="top"/>
    </xf>
    <xf numFmtId="0" fontId="19" fillId="10" borderId="1" xfId="0" applyFont="1" applyFill="1" applyBorder="1" applyAlignment="1">
      <alignment vertical="top"/>
    </xf>
    <xf numFmtId="0" fontId="19" fillId="10" borderId="13" xfId="0" applyFont="1" applyFill="1" applyBorder="1" applyAlignment="1">
      <alignment vertical="top" wrapText="1"/>
    </xf>
    <xf numFmtId="0" fontId="19" fillId="4" borderId="1" xfId="0" applyFont="1" applyFill="1" applyBorder="1" applyAlignment="1">
      <alignment vertical="top" wrapText="1"/>
    </xf>
    <xf numFmtId="0" fontId="19" fillId="4" borderId="13" xfId="0" applyFont="1" applyFill="1" applyBorder="1" applyAlignment="1">
      <alignment vertical="top" wrapText="1"/>
    </xf>
    <xf numFmtId="0" fontId="19" fillId="4" borderId="1" xfId="0" applyFont="1" applyFill="1" applyBorder="1" applyAlignment="1">
      <alignment wrapText="1"/>
    </xf>
    <xf numFmtId="0" fontId="19" fillId="4" borderId="13" xfId="0" applyFont="1" applyFill="1" applyBorder="1" applyAlignment="1">
      <alignment wrapText="1"/>
    </xf>
    <xf numFmtId="0" fontId="4" fillId="11" borderId="6" xfId="0" applyFont="1" applyFill="1" applyBorder="1"/>
    <xf numFmtId="0" fontId="5" fillId="4" borderId="7" xfId="0" applyFont="1" applyFill="1" applyBorder="1" applyAlignment="1">
      <alignment vertical="top"/>
    </xf>
    <xf numFmtId="0" fontId="5" fillId="4" borderId="8" xfId="0" applyFont="1" applyFill="1" applyBorder="1" applyAlignment="1">
      <alignment vertical="top"/>
    </xf>
    <xf numFmtId="0" fontId="5" fillId="10" borderId="14" xfId="0" applyFont="1" applyFill="1" applyBorder="1" applyAlignment="1">
      <alignment horizontal="left" vertical="top" wrapText="1"/>
    </xf>
    <xf numFmtId="0" fontId="5" fillId="10" borderId="19" xfId="0" applyFont="1" applyFill="1" applyBorder="1" applyAlignment="1">
      <alignment horizontal="center" vertical="top"/>
    </xf>
    <xf numFmtId="0" fontId="5" fillId="10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top"/>
    </xf>
    <xf numFmtId="0" fontId="5" fillId="10" borderId="11" xfId="0" applyFont="1" applyFill="1" applyBorder="1" applyAlignment="1">
      <alignment horizontal="left" vertical="top"/>
    </xf>
    <xf numFmtId="0" fontId="5" fillId="10" borderId="1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 readingOrder="2"/>
    </xf>
    <xf numFmtId="0" fontId="5" fillId="10" borderId="15" xfId="0" applyFont="1" applyFill="1" applyBorder="1" applyAlignment="1">
      <alignment vertical="top" wrapText="1" readingOrder="2"/>
    </xf>
    <xf numFmtId="0" fontId="5" fillId="4" borderId="15" xfId="0" applyFont="1" applyFill="1" applyBorder="1" applyAlignment="1">
      <alignment horizontal="left" vertical="top" wrapText="1"/>
    </xf>
    <xf numFmtId="0" fontId="21" fillId="10" borderId="11" xfId="0" applyFont="1" applyFill="1" applyBorder="1" applyAlignment="1">
      <alignment vertical="top"/>
    </xf>
    <xf numFmtId="0" fontId="21" fillId="10" borderId="1" xfId="0" applyFont="1" applyFill="1" applyBorder="1" applyAlignment="1">
      <alignment vertical="top"/>
    </xf>
    <xf numFmtId="0" fontId="21" fillId="10" borderId="1" xfId="0" applyFont="1" applyFill="1" applyBorder="1" applyAlignment="1">
      <alignment horizontal="center" vertical="top"/>
    </xf>
    <xf numFmtId="0" fontId="21" fillId="4" borderId="1" xfId="0" applyFont="1" applyFill="1" applyBorder="1" applyAlignment="1">
      <alignment horizontal="left" vertical="top" wrapText="1"/>
    </xf>
    <xf numFmtId="0" fontId="21" fillId="4" borderId="13" xfId="0" applyFont="1" applyFill="1" applyBorder="1" applyAlignment="1">
      <alignment vertical="top" wrapText="1"/>
    </xf>
    <xf numFmtId="0" fontId="21" fillId="5" borderId="15" xfId="0" applyFont="1" applyFill="1" applyBorder="1"/>
    <xf numFmtId="0" fontId="21" fillId="5" borderId="1" xfId="0" applyFont="1" applyFill="1" applyBorder="1"/>
    <xf numFmtId="0" fontId="22" fillId="6" borderId="13" xfId="0" applyFont="1" applyFill="1" applyBorder="1"/>
    <xf numFmtId="0" fontId="21" fillId="7" borderId="1" xfId="0" applyFont="1" applyFill="1" applyBorder="1"/>
    <xf numFmtId="0" fontId="23" fillId="11" borderId="6" xfId="0" applyFont="1" applyFill="1" applyBorder="1"/>
    <xf numFmtId="0" fontId="24" fillId="0" borderId="0" xfId="0" applyFont="1"/>
    <xf numFmtId="0" fontId="25" fillId="10" borderId="1" xfId="0" applyFont="1" applyFill="1" applyBorder="1" applyAlignment="1">
      <alignment vertical="top"/>
    </xf>
    <xf numFmtId="0" fontId="21" fillId="10" borderId="1" xfId="0" applyFont="1" applyFill="1" applyBorder="1" applyAlignment="1">
      <alignment vertical="top" wrapText="1"/>
    </xf>
    <xf numFmtId="0" fontId="6" fillId="13" borderId="11" xfId="0" applyFont="1" applyFill="1" applyBorder="1" applyAlignment="1">
      <alignment vertical="top"/>
    </xf>
    <xf numFmtId="9" fontId="0" fillId="0" borderId="0" xfId="0" applyNumberFormat="1" applyAlignment="1">
      <alignment vertical="top"/>
    </xf>
    <xf numFmtId="0" fontId="5" fillId="4" borderId="15" xfId="0" applyFont="1" applyFill="1" applyBorder="1" applyAlignment="1">
      <alignment vertical="top" wrapText="1"/>
    </xf>
    <xf numFmtId="0" fontId="5" fillId="10" borderId="15" xfId="0" applyFont="1" applyFill="1" applyBorder="1" applyAlignment="1">
      <alignment vertical="top" readingOrder="2"/>
    </xf>
    <xf numFmtId="0" fontId="5" fillId="10" borderId="8" xfId="0" applyFont="1" applyFill="1" applyBorder="1" applyAlignment="1">
      <alignment vertical="top" readingOrder="2"/>
    </xf>
    <xf numFmtId="0" fontId="6" fillId="14" borderId="11" xfId="0" applyFont="1" applyFill="1" applyBorder="1" applyAlignment="1">
      <alignment vertical="top"/>
    </xf>
    <xf numFmtId="0" fontId="26" fillId="0" borderId="0" xfId="0" applyFont="1"/>
    <xf numFmtId="0" fontId="25" fillId="10" borderId="11" xfId="0" applyFont="1" applyFill="1" applyBorder="1" applyAlignment="1">
      <alignment vertical="top"/>
    </xf>
    <xf numFmtId="0" fontId="25" fillId="10" borderId="1" xfId="0" applyFont="1" applyFill="1" applyBorder="1" applyAlignment="1">
      <alignment horizontal="center" vertical="top"/>
    </xf>
    <xf numFmtId="0" fontId="25" fillId="4" borderId="1" xfId="0" applyFont="1" applyFill="1" applyBorder="1" applyAlignment="1">
      <alignment horizontal="left" vertical="top" wrapText="1"/>
    </xf>
    <xf numFmtId="0" fontId="6" fillId="10" borderId="1" xfId="0" applyFont="1" applyFill="1" applyBorder="1" applyAlignment="1">
      <alignment horizontal="right" vertical="top"/>
    </xf>
    <xf numFmtId="0" fontId="6" fillId="10" borderId="1" xfId="0" applyFont="1" applyFill="1" applyBorder="1" applyAlignment="1">
      <alignment horizontal="left" vertical="top"/>
    </xf>
    <xf numFmtId="0" fontId="27" fillId="10" borderId="1" xfId="0" applyFont="1" applyFill="1" applyBorder="1" applyAlignment="1">
      <alignment vertical="top"/>
    </xf>
    <xf numFmtId="0" fontId="27" fillId="10" borderId="1" xfId="0" applyFont="1" applyFill="1" applyBorder="1" applyAlignment="1">
      <alignment vertical="top" wrapText="1"/>
    </xf>
    <xf numFmtId="0" fontId="6" fillId="4" borderId="13" xfId="0" applyFont="1" applyFill="1" applyBorder="1" applyAlignment="1">
      <alignment horizontal="right" vertical="top" wrapText="1"/>
    </xf>
    <xf numFmtId="0" fontId="5" fillId="0" borderId="0" xfId="0" applyFont="1" applyAlignment="1">
      <alignment vertical="top"/>
    </xf>
    <xf numFmtId="0" fontId="6" fillId="8" borderId="6" xfId="0" applyFont="1" applyFill="1" applyBorder="1" applyAlignment="1">
      <alignment vertical="top" wrapText="1"/>
    </xf>
    <xf numFmtId="0" fontId="11" fillId="0" borderId="6" xfId="0" applyFont="1" applyBorder="1" applyAlignment="1">
      <alignment vertical="top"/>
    </xf>
    <xf numFmtId="0" fontId="11" fillId="0" borderId="11" xfId="0" applyFont="1" applyBorder="1" applyAlignment="1">
      <alignment vertical="top"/>
    </xf>
    <xf numFmtId="0" fontId="6" fillId="8" borderId="7" xfId="0" applyFont="1" applyFill="1" applyBorder="1" applyAlignment="1">
      <alignment vertical="top" wrapText="1"/>
    </xf>
    <xf numFmtId="0" fontId="11" fillId="0" borderId="8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11" fillId="0" borderId="4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 textRotation="255"/>
    </xf>
    <xf numFmtId="0" fontId="1" fillId="0" borderId="0" xfId="0" applyFont="1" applyAlignment="1">
      <alignment horizontal="center" vertical="center" textRotation="255"/>
    </xf>
    <xf numFmtId="0" fontId="6" fillId="4" borderId="2" xfId="0" applyFont="1" applyFill="1" applyBorder="1" applyAlignment="1">
      <alignment horizontal="center" vertical="top" textRotation="255"/>
    </xf>
    <xf numFmtId="0" fontId="6" fillId="5" borderId="3" xfId="0" applyFont="1" applyFill="1" applyBorder="1" applyAlignment="1">
      <alignment horizontal="center" textRotation="255"/>
    </xf>
    <xf numFmtId="0" fontId="9" fillId="6" borderId="2" xfId="0" applyFont="1" applyFill="1" applyBorder="1" applyAlignment="1">
      <alignment horizontal="center" textRotation="255"/>
    </xf>
    <xf numFmtId="0" fontId="9" fillId="7" borderId="2" xfId="0" applyFont="1" applyFill="1" applyBorder="1" applyAlignment="1">
      <alignment horizontal="center" vertical="center" textRotation="255"/>
    </xf>
    <xf numFmtId="0" fontId="6" fillId="7" borderId="3" xfId="0" applyFont="1" applyFill="1" applyBorder="1" applyAlignment="1">
      <alignment horizontal="center" vertical="center" textRotation="255"/>
    </xf>
    <xf numFmtId="0" fontId="6" fillId="10" borderId="13" xfId="0" applyFont="1" applyFill="1" applyBorder="1" applyAlignment="1">
      <alignment horizontal="center" vertical="top"/>
    </xf>
    <xf numFmtId="0" fontId="11" fillId="0" borderId="14" xfId="0" applyFont="1" applyBorder="1" applyAlignment="1">
      <alignment vertical="top"/>
    </xf>
    <xf numFmtId="0" fontId="10" fillId="4" borderId="13" xfId="0" applyFont="1" applyFill="1" applyBorder="1" applyAlignment="1">
      <alignment horizontal="left" vertical="top"/>
    </xf>
    <xf numFmtId="0" fontId="11" fillId="0" borderId="15" xfId="0" applyFont="1" applyBorder="1" applyAlignment="1">
      <alignment vertical="top"/>
    </xf>
    <xf numFmtId="0" fontId="6" fillId="7" borderId="13" xfId="0" applyFont="1" applyFill="1" applyBorder="1" applyAlignment="1">
      <alignment horizontal="left"/>
    </xf>
    <xf numFmtId="0" fontId="6" fillId="4" borderId="13" xfId="0" applyFont="1" applyFill="1" applyBorder="1" applyAlignment="1">
      <alignment vertical="top"/>
    </xf>
    <xf numFmtId="0" fontId="6" fillId="4" borderId="15" xfId="0" applyFont="1" applyFill="1" applyBorder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vertical="top"/>
    </xf>
    <xf numFmtId="0" fontId="5" fillId="4" borderId="15" xfId="0" applyFont="1" applyFill="1" applyBorder="1" applyAlignment="1">
      <alignment vertical="top"/>
    </xf>
    <xf numFmtId="0" fontId="5" fillId="4" borderId="13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top"/>
    </xf>
    <xf numFmtId="0" fontId="5" fillId="10" borderId="14" xfId="0" applyFont="1" applyFill="1" applyBorder="1" applyAlignment="1">
      <alignment horizontal="center" vertical="top"/>
    </xf>
    <xf numFmtId="0" fontId="5" fillId="10" borderId="15" xfId="0" applyFont="1" applyFill="1" applyBorder="1" applyAlignment="1">
      <alignment horizontal="center" vertical="top"/>
    </xf>
    <xf numFmtId="0" fontId="18" fillId="4" borderId="13" xfId="0" applyFont="1" applyFill="1" applyBorder="1" applyAlignment="1">
      <alignment horizontal="left" vertical="top"/>
    </xf>
    <xf numFmtId="0" fontId="18" fillId="4" borderId="14" xfId="0" applyFont="1" applyFill="1" applyBorder="1" applyAlignment="1">
      <alignment horizontal="left" vertical="top"/>
    </xf>
    <xf numFmtId="0" fontId="18" fillId="4" borderId="15" xfId="0" applyFont="1" applyFill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8" borderId="6" xfId="0" applyFont="1" applyFill="1" applyBorder="1" applyAlignment="1">
      <alignment vertical="top" wrapText="1"/>
    </xf>
    <xf numFmtId="0" fontId="5" fillId="8" borderId="7" xfId="0" applyFont="1" applyFill="1" applyBorder="1" applyAlignment="1">
      <alignment vertical="top" readingOrder="2"/>
    </xf>
    <xf numFmtId="0" fontId="5" fillId="8" borderId="8" xfId="0" applyFont="1" applyFill="1" applyBorder="1" applyAlignment="1">
      <alignment vertical="top" readingOrder="2"/>
    </xf>
    <xf numFmtId="0" fontId="16" fillId="0" borderId="3" xfId="0" applyFont="1" applyBorder="1" applyAlignment="1">
      <alignment vertical="top"/>
    </xf>
    <xf numFmtId="0" fontId="16" fillId="0" borderId="4" xfId="0" applyFont="1" applyBorder="1" applyAlignment="1">
      <alignment vertical="top"/>
    </xf>
    <xf numFmtId="0" fontId="5" fillId="8" borderId="7" xfId="0" applyFont="1" applyFill="1" applyBorder="1" applyAlignment="1">
      <alignment vertical="top" wrapText="1"/>
    </xf>
    <xf numFmtId="0" fontId="5" fillId="8" borderId="8" xfId="0" applyFont="1" applyFill="1" applyBorder="1" applyAlignment="1">
      <alignment vertical="top" wrapText="1"/>
    </xf>
    <xf numFmtId="0" fontId="17" fillId="4" borderId="2" xfId="0" applyFont="1" applyFill="1" applyBorder="1" applyAlignment="1">
      <alignment horizontal="center" textRotation="255"/>
    </xf>
    <xf numFmtId="0" fontId="17" fillId="4" borderId="6" xfId="0" applyFont="1" applyFill="1" applyBorder="1" applyAlignment="1">
      <alignment horizontal="center" textRotation="255"/>
    </xf>
    <xf numFmtId="0" fontId="17" fillId="4" borderId="11" xfId="0" applyFont="1" applyFill="1" applyBorder="1" applyAlignment="1">
      <alignment horizontal="center" textRotation="255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9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10" xfId="0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16" fillId="4" borderId="12" xfId="0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top"/>
    </xf>
    <xf numFmtId="0" fontId="5" fillId="0" borderId="14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4" borderId="2" xfId="0" applyFont="1" applyFill="1" applyBorder="1" applyAlignment="1">
      <alignment horizontal="center" vertical="top" textRotation="255"/>
    </xf>
    <xf numFmtId="0" fontId="5" fillId="4" borderId="6" xfId="0" applyFont="1" applyFill="1" applyBorder="1" applyAlignment="1">
      <alignment horizontal="center" vertical="top" textRotation="255"/>
    </xf>
    <xf numFmtId="0" fontId="5" fillId="4" borderId="11" xfId="0" applyFont="1" applyFill="1" applyBorder="1" applyAlignment="1">
      <alignment horizontal="center" vertical="top" textRotation="255"/>
    </xf>
    <xf numFmtId="0" fontId="2" fillId="0" borderId="5" xfId="0" applyFont="1" applyBorder="1" applyAlignment="1">
      <alignment vertical="top"/>
    </xf>
    <xf numFmtId="0" fontId="15" fillId="8" borderId="6" xfId="1" applyFill="1" applyBorder="1" applyAlignment="1">
      <alignment vertical="top" wrapText="1"/>
    </xf>
    <xf numFmtId="0" fontId="15" fillId="0" borderId="6" xfId="1" applyBorder="1" applyAlignment="1">
      <alignment vertical="top"/>
    </xf>
    <xf numFmtId="0" fontId="15" fillId="0" borderId="11" xfId="1" applyBorder="1" applyAlignment="1">
      <alignment vertical="top"/>
    </xf>
    <xf numFmtId="0" fontId="25" fillId="4" borderId="13" xfId="0" applyFont="1" applyFill="1" applyBorder="1" applyAlignment="1">
      <alignment vertical="top"/>
    </xf>
    <xf numFmtId="0" fontId="25" fillId="4" borderId="15" xfId="0" applyFont="1" applyFill="1" applyBorder="1" applyAlignment="1">
      <alignment vertical="top"/>
    </xf>
    <xf numFmtId="0" fontId="21" fillId="4" borderId="13" xfId="0" applyFont="1" applyFill="1" applyBorder="1" applyAlignment="1">
      <alignment vertical="top"/>
    </xf>
    <xf numFmtId="0" fontId="21" fillId="4" borderId="15" xfId="0" applyFont="1" applyFill="1" applyBorder="1" applyAlignment="1">
      <alignment vertical="top"/>
    </xf>
    <xf numFmtId="0" fontId="5" fillId="0" borderId="9" xfId="0" applyFont="1" applyBorder="1" applyAlignment="1"/>
    <xf numFmtId="0" fontId="5" fillId="0" borderId="7" xfId="0" applyFont="1" applyBorder="1" applyAlignment="1"/>
    <xf numFmtId="0" fontId="19" fillId="4" borderId="13" xfId="0" applyFont="1" applyFill="1" applyBorder="1" applyAlignment="1"/>
    <xf numFmtId="0" fontId="19" fillId="4" borderId="15" xfId="0" applyFont="1" applyFill="1" applyBorder="1" applyAlignment="1"/>
    <xf numFmtId="0" fontId="0" fillId="0" borderId="0" xfId="0" applyAlignment="1"/>
    <xf numFmtId="0" fontId="11" fillId="0" borderId="5" xfId="0" applyFont="1" applyBorder="1" applyAlignment="1"/>
    <xf numFmtId="0" fontId="11" fillId="0" borderId="4" xfId="0" applyFont="1" applyBorder="1" applyAlignment="1"/>
    <xf numFmtId="0" fontId="5" fillId="0" borderId="0" xfId="0" applyFont="1" applyAlignment="1"/>
    <xf numFmtId="0" fontId="11" fillId="0" borderId="9" xfId="0" applyFont="1" applyBorder="1" applyAlignment="1"/>
    <xf numFmtId="0" fontId="11" fillId="0" borderId="10" xfId="0" applyFont="1" applyBorder="1" applyAlignment="1"/>
    <xf numFmtId="0" fontId="11" fillId="0" borderId="6" xfId="0" applyFont="1" applyBorder="1" applyAlignment="1"/>
    <xf numFmtId="0" fontId="5" fillId="0" borderId="12" xfId="0" applyFont="1" applyBorder="1" applyAlignment="1"/>
    <xf numFmtId="0" fontId="11" fillId="0" borderId="7" xfId="0" applyFont="1" applyBorder="1" applyAlignment="1"/>
    <xf numFmtId="0" fontId="11" fillId="0" borderId="12" xfId="0" applyFont="1" applyBorder="1" applyAlignment="1"/>
    <xf numFmtId="0" fontId="11" fillId="0" borderId="8" xfId="0" applyFont="1" applyBorder="1" applyAlignment="1"/>
    <xf numFmtId="0" fontId="11" fillId="0" borderId="11" xfId="0" applyFont="1" applyBorder="1" applyAlignment="1"/>
    <xf numFmtId="0" fontId="11" fillId="0" borderId="14" xfId="0" applyFont="1" applyBorder="1" applyAlignment="1"/>
    <xf numFmtId="0" fontId="11" fillId="0" borderId="15" xfId="0" applyFont="1" applyBorder="1" applyAlignment="1"/>
    <xf numFmtId="0" fontId="6" fillId="7" borderId="13" xfId="0" applyFont="1" applyFill="1" applyBorder="1" applyAlignment="1"/>
    <xf numFmtId="0" fontId="6" fillId="7" borderId="15" xfId="0" applyFont="1" applyFill="1" applyBorder="1" applyAlignment="1"/>
    <xf numFmtId="0" fontId="1" fillId="7" borderId="13" xfId="0" applyFont="1" applyFill="1" applyBorder="1" applyAlignment="1"/>
    <xf numFmtId="0" fontId="1" fillId="7" borderId="15" xfId="0" applyFont="1" applyFill="1" applyBorder="1" applyAlignment="1"/>
    <xf numFmtId="0" fontId="21" fillId="7" borderId="13" xfId="0" applyFont="1" applyFill="1" applyBorder="1" applyAlignment="1"/>
    <xf numFmtId="0" fontId="21" fillId="7" borderId="15" xfId="0" applyFont="1" applyFill="1" applyBorder="1" applyAlignment="1"/>
  </cellXfs>
  <cellStyles count="2">
    <cellStyle name="Hyperlink" xfId="1" builtinId="8"/>
    <cellStyle name="Normal" xfId="0" builtinId="0"/>
  </cellStyles>
  <dxfs count="157"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A4C2F4"/>
          <bgColor rgb="FFA4C2F4"/>
        </patternFill>
      </fill>
    </dxf>
    <dxf>
      <font>
        <color rgb="FF000000"/>
      </font>
      <fill>
        <patternFill patternType="solid">
          <fgColor rgb="FFA2C4C9"/>
          <bgColor rgb="FFA2C4C9"/>
        </patternFill>
      </fill>
    </dxf>
    <dxf>
      <font>
        <b/>
        <color rgb="FFFF0000"/>
      </font>
      <fill>
        <patternFill patternType="solid">
          <fgColor rgb="FFEA9999"/>
          <bgColor rgb="FFEA9999"/>
        </patternFill>
      </fill>
    </dxf>
    <dxf>
      <font>
        <b/>
        <color rgb="FF34A853"/>
      </font>
      <fill>
        <patternFill patternType="solid">
          <fgColor rgb="FFB7E1CD"/>
          <bgColor rgb="FFB7E1CD"/>
        </patternFill>
      </fill>
    </dxf>
    <dxf>
      <font>
        <strike/>
        <color rgb="FFFFFFFF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7">
    <tableStyle name="Lists-style" pivot="0" count="3" xr9:uid="{00000000-0011-0000-FFFF-FFFF00000000}">
      <tableStyleElement type="headerRow" dxfId="156"/>
      <tableStyleElement type="firstRowStripe" dxfId="155"/>
      <tableStyleElement type="secondRowStripe" dxfId="154"/>
    </tableStyle>
    <tableStyle name="Lists-style 2" pivot="0" count="3" xr9:uid="{00000000-0011-0000-FFFF-FFFF01000000}">
      <tableStyleElement type="headerRow" dxfId="153"/>
      <tableStyleElement type="firstRowStripe" dxfId="152"/>
      <tableStyleElement type="secondRowStripe" dxfId="151"/>
    </tableStyle>
    <tableStyle name="Lists-style 3" pivot="0" count="3" xr9:uid="{00000000-0011-0000-FFFF-FFFF02000000}">
      <tableStyleElement type="headerRow" dxfId="150"/>
      <tableStyleElement type="firstRowStripe" dxfId="149"/>
      <tableStyleElement type="secondRowStripe" dxfId="148"/>
    </tableStyle>
    <tableStyle name="Lists-style 4" pivot="0" count="3" xr9:uid="{00000000-0011-0000-FFFF-FFFF03000000}">
      <tableStyleElement type="headerRow" dxfId="147"/>
      <tableStyleElement type="firstRowStripe" dxfId="146"/>
      <tableStyleElement type="secondRowStripe" dxfId="145"/>
    </tableStyle>
    <tableStyle name="Lists-style 5" pivot="0" count="3" xr9:uid="{00000000-0011-0000-FFFF-FFFF04000000}">
      <tableStyleElement type="headerRow" dxfId="144"/>
      <tableStyleElement type="firstRowStripe" dxfId="143"/>
      <tableStyleElement type="secondRowStripe" dxfId="142"/>
    </tableStyle>
    <tableStyle name="Lists-style 6" pivot="0" count="3" xr9:uid="{00000000-0011-0000-FFFF-FFFF05000000}">
      <tableStyleElement type="headerRow" dxfId="141"/>
      <tableStyleElement type="firstRowStripe" dxfId="140"/>
      <tableStyleElement type="secondRowStripe" dxfId="139"/>
    </tableStyle>
    <tableStyle name="Lists-style 7" pivot="0" count="3" xr9:uid="{00000000-0011-0000-FFFF-FFFF06000000}">
      <tableStyleElement type="headerRow" dxfId="138"/>
      <tableStyleElement type="firstRowStripe" dxfId="137"/>
      <tableStyleElement type="secondRowStripe" dxfId="136"/>
    </tableStyle>
  </tableStyles>
  <colors>
    <mruColors>
      <color rgb="FFC9DAF8"/>
      <color rgb="FFD9D2E9"/>
      <color rgb="FFE36B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microsoft.com/office/2017/06/relationships/rdRichValue" Target="richData/rdrichvalu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41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customschemas.google.com/relationships/workbookmetadata" Target="metadata"/><Relationship Id="rId30" Type="http://schemas.openxmlformats.org/officeDocument/2006/relationships/styles" Target="styles.xml"/><Relationship Id="rId35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22/10/relationships/richValueRel" Target="richData/richValueRel.xml"/><Relationship Id="rId38" Type="http://schemas.openxmlformats.org/officeDocument/2006/relationships/customXml" Target="../customXml/item1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0</v>
    <v>4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7">
  <tableColumns count="1">
    <tableColumn id="1" xr3:uid="{00000000-0010-0000-0000-000001000000}" name="Sources"/>
  </tableColumns>
  <tableStyleInfo name="List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9:A13">
  <tableColumns count="1">
    <tableColumn id="1" xr3:uid="{00000000-0010-0000-0100-000001000000}" name="Categories"/>
  </tableColumns>
  <tableStyleInfo name="List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5:A18">
  <tableColumns count="1">
    <tableColumn id="1" xr3:uid="{00000000-0010-0000-0200-000001000000}" name="Versions"/>
  </tableColumns>
  <tableStyleInfo name="List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20:A25">
  <tableColumns count="1">
    <tableColumn id="1" xr3:uid="{00000000-0010-0000-0300-000001000000}" name="STT Statuses"/>
  </tableColumns>
  <tableStyleInfo name="List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27:A31">
  <tableColumns count="1">
    <tableColumn id="1" xr3:uid="{00000000-0010-0000-0400-000001000000}" name="ETL Statuses"/>
  </tableColumns>
  <tableStyleInfo name="List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33:A36">
  <tableColumns count="1">
    <tableColumn id="1" xr3:uid="{00000000-0010-0000-0500-000001000000}" name="Statuses"/>
  </tableColumns>
  <tableStyleInfo name="List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38:C49" headerRowCount="0">
  <tableColumns count="3">
    <tableColumn id="1" xr3:uid="{00000000-0010-0000-0600-000001000000}" name="Column1"/>
    <tableColumn id="2" xr3:uid="{00000000-0010-0000-0600-000002000000}" name="Column2"/>
    <tableColumn id="3" xr3:uid="{00000000-0010-0000-0600-000003000000}" name="Column3"/>
  </tableColumns>
  <tableStyleInfo name="Lists-style 7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ur01.safelinks.protection.outlook.com/?url=https%3A%2F%2Fwww.cbs.gov.il%2Fhe%2Fpublications%2FPages%2F2019%2F%25D7%2594%25D7%25A8%25D7%25A9%25D7%2595%25D7%2599%25D7%2595%25D7%25AA-%25D7%2594%25D7%259E%25D7%25A7%25D7%2595%25D7%259E%25D7%2599%25D7%2595%25D7%25AA-%25D7%2591%25D7%2599%25D7%25A9%25D7%25A8%25D7%2590%25D7%259C-%25D7%25A7%25D7%2595%25D7%2591%25D7%25A6%25D7%2599-%25D7%25A0%25D7%25AA%25D7%2595%25D7%25A0%25D7%2599%25D7%259D-%25D7%259C%25D7%25A2%25D7%2599%25D7%2591%25D7%2595%25D7%2593-1999-2017.aspx&amp;data=05%7C02%7CMorTa%40elad.co.il%7Cc16711da84f849d75be608dea69952d5%7C18971179f37c4b7bb37a0a9d8615af94%7C0%7C0%7C639131374636942495%7CUnknown%7CTWFpbGZsb3d8eyJFbXB0eU1hcGkiOnRydWUsIlYiOiIwLjAuMDAwMCIsIlAiOiJXaW4zMiIsIkFOIjoiTWFpbCIsIldUIjoyfQ%3D%3D%7C0%7C%7C%7C&amp;sdata=WJXPtSvHZVny9BNHNcBl1suWXt%2Bz4njcEh3QQOH9jCA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ur01.safelinks.protection.outlook.com/?url=https%3A%2F%2Fwww.cbs.gov.il%2Fhe%2Fpublications%2FPages%2F2019%2F%25D7%2594%25D7%25A8%25D7%25A9%25D7%2595%25D7%2599%25D7%2595%25D7%25AA-%25D7%2594%25D7%259E%25D7%25A7%25D7%2595%25D7%259E%25D7%2599%25D7%2595%25D7%25AA-%25D7%2591%25D7%2599%25D7%25A9%25D7%25A8%25D7%2590%25D7%259C-%25D7%25A7%25D7%2595%25D7%2591%25D7%25A6%25D7%2599-%25D7%25A0%25D7%25AA%25D7%2595%25D7%25A0%25D7%2599%25D7%259D-%25D7%259C%25D7%25A2%25D7%2599%25D7%2591%25D7%2595%25D7%2593-1999-2017.aspx&amp;data=05%7C02%7CMorTa%40elad.co.il%7Cc16711da84f849d75be608dea69952d5%7C18971179f37c4b7bb37a0a9d8615af94%7C0%7C0%7C639131374636942495%7CUnknown%7CTWFpbGZsb3d8eyJFbXB0eU1hcGkiOnRydWUsIlYiOiIwLjAuMDAwMCIsIlAiOiJXaW4zMiIsIkFOIjoiTWFpbCIsIldUIjoyfQ%3D%3D%7C0%7C%7C%7C&amp;sdata=WJXPtSvHZVny9BNHNcBl1suWXt%2Bz4njcEh3QQOH9jCA%3D&amp;reserved=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30EF-ED14-40FE-92E6-27B5A1AD91FE}">
  <sheetPr>
    <tabColor rgb="FFFFC000"/>
  </sheetPr>
  <dimension ref="A1:T17"/>
  <sheetViews>
    <sheetView workbookViewId="0">
      <selection activeCell="D20" sqref="D20"/>
    </sheetView>
  </sheetViews>
  <sheetFormatPr defaultRowHeight="12.6"/>
  <cols>
    <col min="1" max="1" width="23" customWidth="1"/>
    <col min="2" max="2" width="11.85546875" customWidth="1"/>
    <col min="4" max="4" width="33.7109375" customWidth="1"/>
    <col min="5" max="5" width="4.140625" customWidth="1"/>
    <col min="7" max="7" width="14.42578125" customWidth="1"/>
    <col min="8" max="8" width="15.42578125" customWidth="1"/>
    <col min="9" max="9" width="8.140625" customWidth="1"/>
    <col min="12" max="12" width="12.85546875" customWidth="1"/>
    <col min="13" max="13" width="16.5703125" customWidth="1"/>
    <col min="16" max="16" width="6" customWidth="1"/>
    <col min="18" max="18" width="16.140625" customWidth="1"/>
    <col min="20" max="20" width="31.85546875" bestFit="1" customWidth="1"/>
  </cols>
  <sheetData>
    <row r="1" spans="1:20" ht="12.95">
      <c r="A1" s="73" t="s">
        <v>0</v>
      </c>
      <c r="B1" s="73" t="s">
        <v>1</v>
      </c>
      <c r="C1" s="30">
        <v>0</v>
      </c>
      <c r="D1" s="74" t="s">
        <v>2</v>
      </c>
      <c r="E1" s="211" t="s">
        <v>3</v>
      </c>
      <c r="F1" s="192" t="s">
        <v>4</v>
      </c>
      <c r="G1" s="193"/>
      <c r="H1" s="75" t="s">
        <v>5</v>
      </c>
      <c r="I1" s="76"/>
      <c r="J1" s="196" t="s">
        <v>6</v>
      </c>
      <c r="K1" s="199"/>
      <c r="L1" s="200"/>
      <c r="M1" s="200"/>
      <c r="N1" s="201"/>
      <c r="O1" s="196" t="s">
        <v>7</v>
      </c>
      <c r="P1" s="199"/>
      <c r="Q1" s="200"/>
      <c r="R1" s="200"/>
      <c r="S1" s="201"/>
      <c r="T1" s="222"/>
    </row>
    <row r="2" spans="1:20" ht="49.5" customHeight="1">
      <c r="A2" s="73" t="s">
        <v>8</v>
      </c>
      <c r="B2" s="73"/>
      <c r="C2" s="188"/>
      <c r="D2" s="189" t="s">
        <v>9</v>
      </c>
      <c r="E2" s="212"/>
      <c r="F2" s="190" t="s">
        <v>10</v>
      </c>
      <c r="G2" s="191"/>
      <c r="H2" s="75" t="s">
        <v>11</v>
      </c>
      <c r="I2" s="76"/>
      <c r="J2" s="197"/>
      <c r="K2" s="202"/>
      <c r="L2" s="203"/>
      <c r="M2" s="203"/>
      <c r="N2" s="204"/>
      <c r="O2" s="197"/>
      <c r="P2" s="202"/>
      <c r="Q2" s="203"/>
      <c r="R2" s="203"/>
      <c r="S2" s="204"/>
      <c r="T2" s="222"/>
    </row>
    <row r="3" spans="1:20" ht="12.95">
      <c r="A3" s="73" t="s">
        <v>12</v>
      </c>
      <c r="B3" s="73"/>
      <c r="C3" s="188"/>
      <c r="D3" s="189"/>
      <c r="E3" s="212"/>
      <c r="F3" s="192" t="s">
        <v>13</v>
      </c>
      <c r="G3" s="193"/>
      <c r="H3" s="75" t="s">
        <v>14</v>
      </c>
      <c r="I3" s="76"/>
      <c r="J3" s="197"/>
      <c r="K3" s="202"/>
      <c r="L3" s="203"/>
      <c r="M3" s="203"/>
      <c r="N3" s="204"/>
      <c r="O3" s="197"/>
      <c r="P3" s="202"/>
      <c r="Q3" s="203"/>
      <c r="R3" s="203"/>
      <c r="S3" s="204"/>
      <c r="T3" s="222"/>
    </row>
    <row r="4" spans="1:20" ht="12.95">
      <c r="A4" s="73" t="s">
        <v>15</v>
      </c>
      <c r="B4" s="73"/>
      <c r="C4" s="188"/>
      <c r="D4" s="189"/>
      <c r="E4" s="212"/>
      <c r="F4" s="194" t="s">
        <v>16</v>
      </c>
      <c r="G4" s="195"/>
      <c r="H4" s="75" t="s">
        <v>17</v>
      </c>
      <c r="I4" s="76"/>
      <c r="J4" s="197"/>
      <c r="K4" s="202"/>
      <c r="L4" s="203"/>
      <c r="M4" s="203"/>
      <c r="N4" s="204"/>
      <c r="O4" s="197"/>
      <c r="P4" s="202"/>
      <c r="Q4" s="203"/>
      <c r="R4" s="203"/>
      <c r="S4" s="204"/>
      <c r="T4" s="223"/>
    </row>
    <row r="5" spans="1:20" ht="12.95">
      <c r="A5" s="21"/>
      <c r="B5" s="21"/>
      <c r="C5" s="77" t="s">
        <v>18</v>
      </c>
      <c r="D5" s="21"/>
      <c r="E5" s="213"/>
      <c r="F5" s="208"/>
      <c r="G5" s="209"/>
      <c r="H5" s="209"/>
      <c r="I5" s="210"/>
      <c r="J5" s="198"/>
      <c r="K5" s="205"/>
      <c r="L5" s="206"/>
      <c r="M5" s="206"/>
      <c r="N5" s="207"/>
      <c r="O5" s="198"/>
      <c r="P5" s="205"/>
      <c r="Q5" s="206"/>
      <c r="R5" s="206"/>
      <c r="S5" s="207"/>
      <c r="T5" s="78" t="s">
        <v>19</v>
      </c>
    </row>
    <row r="6" spans="1:20" ht="14.45">
      <c r="A6" s="79" t="s">
        <v>20</v>
      </c>
      <c r="B6" s="182" t="s">
        <v>20</v>
      </c>
      <c r="C6" s="183"/>
      <c r="D6" s="184"/>
      <c r="E6" s="185" t="s">
        <v>21</v>
      </c>
      <c r="F6" s="186"/>
      <c r="G6" s="186"/>
      <c r="H6" s="186"/>
      <c r="I6" s="187"/>
      <c r="J6" s="185" t="s">
        <v>22</v>
      </c>
      <c r="K6" s="186"/>
      <c r="L6" s="186"/>
      <c r="M6" s="186"/>
      <c r="N6" s="187"/>
      <c r="O6" s="185" t="s">
        <v>23</v>
      </c>
      <c r="P6" s="186"/>
      <c r="Q6" s="186"/>
      <c r="R6" s="186"/>
      <c r="S6" s="187"/>
      <c r="T6" s="11"/>
    </row>
    <row r="7" spans="1:20" ht="26.1">
      <c r="A7" s="55" t="s">
        <v>24</v>
      </c>
      <c r="B7" s="55" t="s">
        <v>25</v>
      </c>
      <c r="C7" s="55" t="s">
        <v>26</v>
      </c>
      <c r="D7" s="80" t="s">
        <v>27</v>
      </c>
      <c r="E7" s="176" t="s">
        <v>28</v>
      </c>
      <c r="F7" s="177"/>
      <c r="G7" s="61" t="s">
        <v>29</v>
      </c>
      <c r="H7" s="81" t="s">
        <v>30</v>
      </c>
      <c r="I7" s="82" t="s">
        <v>31</v>
      </c>
      <c r="J7" s="176" t="s">
        <v>28</v>
      </c>
      <c r="K7" s="177"/>
      <c r="L7" s="81" t="s">
        <v>29</v>
      </c>
      <c r="M7" s="81" t="s">
        <v>30</v>
      </c>
      <c r="N7" s="82" t="s">
        <v>31</v>
      </c>
      <c r="O7" s="176" t="s">
        <v>28</v>
      </c>
      <c r="P7" s="177"/>
      <c r="Q7" s="81" t="s">
        <v>29</v>
      </c>
      <c r="R7" s="81" t="s">
        <v>30</v>
      </c>
      <c r="S7" s="82" t="s">
        <v>31</v>
      </c>
      <c r="T7" s="14"/>
    </row>
    <row r="8" spans="1:20" s="107" customFormat="1" ht="31.5" customHeight="1">
      <c r="A8" s="103" t="s">
        <v>32</v>
      </c>
      <c r="B8" s="102"/>
      <c r="C8" s="102"/>
      <c r="D8" s="102"/>
      <c r="E8" s="172" t="s">
        <v>33</v>
      </c>
      <c r="F8" s="173"/>
      <c r="G8" s="105" t="s">
        <v>34</v>
      </c>
      <c r="H8" s="105" t="s">
        <v>35</v>
      </c>
      <c r="I8" s="104"/>
      <c r="J8" s="172" t="s">
        <v>33</v>
      </c>
      <c r="K8" s="173"/>
      <c r="L8" s="108" t="s">
        <v>36</v>
      </c>
      <c r="M8" s="105" t="s">
        <v>37</v>
      </c>
      <c r="N8" s="104"/>
      <c r="O8" s="172" t="s">
        <v>33</v>
      </c>
      <c r="P8" s="173"/>
      <c r="Q8" s="108" t="s">
        <v>38</v>
      </c>
      <c r="R8" s="105" t="s">
        <v>37</v>
      </c>
      <c r="S8" s="104"/>
      <c r="T8" s="106"/>
    </row>
    <row r="9" spans="1:20" ht="33" customHeight="1">
      <c r="A9" s="109" t="s">
        <v>39</v>
      </c>
      <c r="B9" s="80"/>
      <c r="C9" s="101"/>
      <c r="D9" s="100"/>
      <c r="E9" s="180" t="s">
        <v>33</v>
      </c>
      <c r="F9" s="181"/>
      <c r="G9" s="105" t="s">
        <v>34</v>
      </c>
      <c r="H9" s="112" t="s">
        <v>40</v>
      </c>
      <c r="I9" s="113"/>
      <c r="J9" s="172" t="s">
        <v>33</v>
      </c>
      <c r="K9" s="173"/>
      <c r="L9" s="108" t="s">
        <v>36</v>
      </c>
      <c r="M9" s="112" t="s">
        <v>41</v>
      </c>
      <c r="N9" s="113"/>
      <c r="O9" s="180" t="s">
        <v>33</v>
      </c>
      <c r="P9" s="181"/>
      <c r="Q9" s="108" t="s">
        <v>42</v>
      </c>
      <c r="R9" s="112" t="s">
        <v>41</v>
      </c>
      <c r="S9" s="113"/>
      <c r="T9" s="14"/>
    </row>
    <row r="10" spans="1:20" ht="33" customHeight="1">
      <c r="A10" s="110" t="s">
        <v>43</v>
      </c>
      <c r="B10" s="80"/>
      <c r="C10" s="101"/>
      <c r="D10" s="100"/>
      <c r="E10" s="180" t="s">
        <v>33</v>
      </c>
      <c r="F10" s="181"/>
      <c r="G10" s="105" t="s">
        <v>34</v>
      </c>
      <c r="H10" s="112" t="s">
        <v>44</v>
      </c>
      <c r="I10" s="113"/>
      <c r="J10" s="172" t="s">
        <v>33</v>
      </c>
      <c r="K10" s="173"/>
      <c r="L10" s="108" t="s">
        <v>36</v>
      </c>
      <c r="M10" s="112" t="s">
        <v>44</v>
      </c>
      <c r="N10" s="113"/>
      <c r="O10" s="180" t="s">
        <v>33</v>
      </c>
      <c r="P10" s="181"/>
      <c r="Q10" s="108" t="s">
        <v>45</v>
      </c>
      <c r="R10" s="112" t="s">
        <v>44</v>
      </c>
      <c r="S10" s="113"/>
      <c r="T10" s="14"/>
    </row>
    <row r="11" spans="1:20" ht="28.5" customHeight="1">
      <c r="A11" s="110" t="s">
        <v>46</v>
      </c>
      <c r="B11" s="55"/>
      <c r="C11" s="69"/>
      <c r="D11" s="86"/>
      <c r="E11" s="172" t="s">
        <v>33</v>
      </c>
      <c r="F11" s="173"/>
      <c r="G11" s="105" t="s">
        <v>34</v>
      </c>
      <c r="H11" s="112" t="s">
        <v>47</v>
      </c>
      <c r="I11" s="113"/>
      <c r="J11" s="172" t="s">
        <v>33</v>
      </c>
      <c r="K11" s="173"/>
      <c r="L11" s="108" t="s">
        <v>36</v>
      </c>
      <c r="M11" s="112" t="s">
        <v>48</v>
      </c>
      <c r="N11" s="113"/>
      <c r="O11" s="172" t="s">
        <v>33</v>
      </c>
      <c r="P11" s="173"/>
      <c r="Q11" s="108" t="s">
        <v>49</v>
      </c>
      <c r="R11" s="112" t="s">
        <v>50</v>
      </c>
      <c r="S11" s="113"/>
      <c r="T11" s="14"/>
    </row>
    <row r="12" spans="1:20" ht="30.75" customHeight="1">
      <c r="A12" s="110" t="s">
        <v>51</v>
      </c>
      <c r="B12" s="55"/>
      <c r="C12" s="85"/>
      <c r="D12" s="87"/>
      <c r="E12" s="174" t="s">
        <v>52</v>
      </c>
      <c r="F12" s="175"/>
      <c r="G12" s="105"/>
      <c r="H12" s="112"/>
      <c r="I12" s="112" t="s">
        <v>53</v>
      </c>
      <c r="J12" s="174" t="s">
        <v>52</v>
      </c>
      <c r="K12" s="175"/>
      <c r="L12" s="108"/>
      <c r="M12" s="112"/>
      <c r="N12" s="112" t="s">
        <v>54</v>
      </c>
      <c r="O12" s="174" t="s">
        <v>52</v>
      </c>
      <c r="P12" s="175"/>
      <c r="Q12" s="108"/>
      <c r="R12" s="112"/>
      <c r="S12" s="113" t="s">
        <v>55</v>
      </c>
      <c r="T12" s="14"/>
    </row>
    <row r="13" spans="1:20" ht="26.1">
      <c r="A13" s="110" t="s">
        <v>56</v>
      </c>
      <c r="B13" s="55"/>
      <c r="C13" s="88"/>
      <c r="D13" s="87"/>
      <c r="E13" s="172" t="s">
        <v>33</v>
      </c>
      <c r="F13" s="173"/>
      <c r="G13" s="105" t="s">
        <v>34</v>
      </c>
      <c r="H13" s="112" t="s">
        <v>37</v>
      </c>
      <c r="I13" s="112"/>
      <c r="J13" s="172" t="s">
        <v>33</v>
      </c>
      <c r="K13" s="173"/>
      <c r="L13" s="108" t="s">
        <v>36</v>
      </c>
      <c r="M13" s="112" t="s">
        <v>57</v>
      </c>
      <c r="N13" s="112"/>
      <c r="O13" s="172" t="s">
        <v>33</v>
      </c>
      <c r="P13" s="173"/>
      <c r="Q13" s="108" t="s">
        <v>58</v>
      </c>
      <c r="R13" s="112" t="s">
        <v>59</v>
      </c>
      <c r="S13" s="112"/>
      <c r="T13" s="14"/>
    </row>
    <row r="14" spans="1:20" ht="26.1">
      <c r="A14" s="111" t="s">
        <v>60</v>
      </c>
      <c r="B14" s="55"/>
      <c r="C14" s="88"/>
      <c r="D14" s="67"/>
      <c r="E14" s="172" t="s">
        <v>33</v>
      </c>
      <c r="F14" s="173"/>
      <c r="G14" s="105" t="s">
        <v>34</v>
      </c>
      <c r="H14" s="112" t="s">
        <v>37</v>
      </c>
      <c r="I14" s="112"/>
      <c r="J14" s="172" t="s">
        <v>33</v>
      </c>
      <c r="K14" s="173"/>
      <c r="L14" s="108" t="s">
        <v>36</v>
      </c>
      <c r="M14" s="112" t="s">
        <v>61</v>
      </c>
      <c r="N14" s="113"/>
      <c r="O14" s="172" t="s">
        <v>33</v>
      </c>
      <c r="P14" s="173"/>
      <c r="Q14" s="108" t="s">
        <v>62</v>
      </c>
      <c r="R14" s="112" t="s">
        <v>63</v>
      </c>
      <c r="S14" s="112"/>
      <c r="T14" s="14"/>
    </row>
    <row r="15" spans="1:20" ht="14.45">
      <c r="A15" s="89"/>
      <c r="B15" s="55"/>
      <c r="C15" s="88"/>
      <c r="D15" s="67"/>
      <c r="E15" s="180"/>
      <c r="F15" s="181"/>
      <c r="G15" s="112"/>
      <c r="H15" s="112"/>
      <c r="I15" s="113"/>
      <c r="J15" s="178"/>
      <c r="K15" s="179"/>
      <c r="L15" s="112"/>
      <c r="M15" s="114"/>
      <c r="N15" s="115"/>
      <c r="O15" s="178"/>
      <c r="P15" s="179"/>
      <c r="Q15" s="112"/>
      <c r="R15" s="112"/>
      <c r="S15" s="113"/>
      <c r="T15" s="14"/>
    </row>
    <row r="16" spans="1:20" ht="14.45">
      <c r="A16" s="89"/>
      <c r="B16" s="55"/>
      <c r="C16" s="88"/>
      <c r="D16" s="67"/>
      <c r="E16" s="98"/>
      <c r="F16" s="99"/>
      <c r="G16" s="61"/>
      <c r="H16" s="61"/>
      <c r="I16" s="82"/>
      <c r="J16" s="176"/>
      <c r="K16" s="177"/>
      <c r="L16" s="81"/>
      <c r="M16" s="83"/>
      <c r="N16" s="84"/>
      <c r="O16" s="176"/>
      <c r="P16" s="177"/>
      <c r="Q16" s="61"/>
      <c r="R16" s="61"/>
      <c r="S16" s="61"/>
      <c r="T16" s="14"/>
    </row>
    <row r="17" spans="1:20" ht="16.5">
      <c r="A17" s="90" t="s">
        <v>64</v>
      </c>
      <c r="B17" s="91"/>
      <c r="C17" s="88"/>
      <c r="D17" s="92"/>
      <c r="E17" s="176"/>
      <c r="F17" s="177"/>
      <c r="G17" s="61"/>
      <c r="H17" s="93"/>
      <c r="I17" s="94"/>
      <c r="J17" s="224"/>
      <c r="K17" s="225"/>
      <c r="L17" s="95"/>
      <c r="M17" s="95"/>
      <c r="N17" s="96"/>
      <c r="O17" s="224"/>
      <c r="P17" s="225"/>
      <c r="Q17" s="95"/>
      <c r="R17" s="95"/>
      <c r="S17" s="96"/>
      <c r="T17" s="97"/>
    </row>
  </sheetData>
  <mergeCells count="49">
    <mergeCell ref="T1:T4"/>
    <mergeCell ref="C2:C4"/>
    <mergeCell ref="D2:D4"/>
    <mergeCell ref="F2:G2"/>
    <mergeCell ref="F3:G3"/>
    <mergeCell ref="F4:G4"/>
    <mergeCell ref="O1:O5"/>
    <mergeCell ref="P1:S5"/>
    <mergeCell ref="F5:I5"/>
    <mergeCell ref="E1:E5"/>
    <mergeCell ref="F1:G1"/>
    <mergeCell ref="J1:J5"/>
    <mergeCell ref="K1:N5"/>
    <mergeCell ref="J8:K8"/>
    <mergeCell ref="O8:P8"/>
    <mergeCell ref="E8:F8"/>
    <mergeCell ref="B6:D6"/>
    <mergeCell ref="E6:I6"/>
    <mergeCell ref="J6:N6"/>
    <mergeCell ref="O6:S6"/>
    <mergeCell ref="E7:F7"/>
    <mergeCell ref="J7:K7"/>
    <mergeCell ref="O7:P7"/>
    <mergeCell ref="E9:F9"/>
    <mergeCell ref="J9:K9"/>
    <mergeCell ref="O9:P9"/>
    <mergeCell ref="E11:F11"/>
    <mergeCell ref="J11:K11"/>
    <mergeCell ref="O11:P11"/>
    <mergeCell ref="E10:F10"/>
    <mergeCell ref="J10:K10"/>
    <mergeCell ref="O10:P10"/>
    <mergeCell ref="E17:F17"/>
    <mergeCell ref="J17:K17"/>
    <mergeCell ref="O17:P17"/>
    <mergeCell ref="J15:K15"/>
    <mergeCell ref="O15:P15"/>
    <mergeCell ref="J16:K16"/>
    <mergeCell ref="O16:P16"/>
    <mergeCell ref="E15:F15"/>
    <mergeCell ref="J14:K14"/>
    <mergeCell ref="O14:P14"/>
    <mergeCell ref="E14:F14"/>
    <mergeCell ref="E12:F12"/>
    <mergeCell ref="E13:F13"/>
    <mergeCell ref="J13:K13"/>
    <mergeCell ref="O13:P13"/>
    <mergeCell ref="J12:K12"/>
    <mergeCell ref="O12:P12"/>
  </mergeCells>
  <phoneticPr fontId="20" type="noConversion"/>
  <dataValidations count="1">
    <dataValidation type="list" allowBlank="1" sqref="E12 J12 O12" xr:uid="{339E61B4-DD0A-49CE-9555-939C65D4C2C4}">
      <formula1>Sources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37FD0-CD21-41D9-8DBF-1D6B098243E0}">
  <sheetPr>
    <tabColor rgb="FFFFC000"/>
    <outlinePr summaryBelow="0" summaryRight="0"/>
  </sheetPr>
  <dimension ref="A1:V170"/>
  <sheetViews>
    <sheetView zoomScaleNormal="100" workbookViewId="0">
      <pane xSplit="1" ySplit="8" topLeftCell="B50" activePane="bottomRight" state="frozen"/>
      <selection pane="bottomRight" activeCell="A7" sqref="A7:I59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35.7109375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4" width="2.28515625" customWidth="1"/>
    <col min="15" max="15" width="10.7109375" hidden="1" customWidth="1" outlineLevel="1"/>
    <col min="16" max="16" width="3.7109375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215" t="s">
        <v>70</v>
      </c>
      <c r="E3" s="148"/>
      <c r="F3" s="150" t="s">
        <v>70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216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217"/>
      <c r="E5" s="148"/>
      <c r="F5" s="150"/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/>
      <c r="R7" s="11"/>
    </row>
    <row r="8" spans="1:18" ht="15.75" customHeight="1">
      <c r="A8" s="16" t="s">
        <v>24</v>
      </c>
      <c r="B8" s="16" t="s">
        <v>25</v>
      </c>
      <c r="C8" s="16" t="s">
        <v>26</v>
      </c>
      <c r="D8" s="16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16" t="s">
        <v>77</v>
      </c>
      <c r="B9" s="16" t="s">
        <v>78</v>
      </c>
      <c r="C9" s="16"/>
      <c r="D9" s="16" t="s">
        <v>79</v>
      </c>
      <c r="E9" s="168" t="s">
        <v>80</v>
      </c>
      <c r="F9" s="169"/>
      <c r="G9" s="17" t="s">
        <v>81</v>
      </c>
      <c r="H9" s="68" t="s">
        <v>79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"מחוז": "district",</v>
      </c>
      <c r="R9" s="14" t="str">
        <f>CONCATENATE($Q$2,A9,$R$2,B9,$Q$2,",")</f>
        <v>"district": "string",</v>
      </c>
    </row>
    <row r="10" spans="1:18" ht="15.75" customHeight="1" outlineLevel="1">
      <c r="A10" s="16" t="s">
        <v>84</v>
      </c>
      <c r="B10" s="16" t="s">
        <v>78</v>
      </c>
      <c r="C10" s="16"/>
      <c r="D10" s="16" t="s">
        <v>85</v>
      </c>
      <c r="E10" s="168" t="s">
        <v>80</v>
      </c>
      <c r="F10" s="169"/>
      <c r="G10" s="17" t="s">
        <v>81</v>
      </c>
      <c r="H10" s="68" t="s">
        <v>86</v>
      </c>
      <c r="I10" s="17"/>
      <c r="J10" s="41"/>
      <c r="K10" s="12"/>
      <c r="L10" s="12"/>
      <c r="M10" s="49"/>
      <c r="N10" s="240"/>
      <c r="O10" s="241"/>
      <c r="P10" s="13"/>
      <c r="Q10" s="14" t="str">
        <f t="shared" ref="Q10:Q41" si="0">CONCATENATE($Q$2,H10,$R$2,A10,$Q$2,",")</f>
        <v>"מפקח": "inspector_name",</v>
      </c>
      <c r="R10" s="14" t="str">
        <f t="shared" ref="R10:R41" si="1">CONCATENATE($Q$2,A10,$R$2,B10,$Q$2,",")</f>
        <v>"inspector_name": "string",</v>
      </c>
    </row>
    <row r="11" spans="1:18" ht="15.75" customHeight="1" outlineLevel="1">
      <c r="A11" s="16" t="s">
        <v>87</v>
      </c>
      <c r="B11" s="16" t="s">
        <v>78</v>
      </c>
      <c r="C11" s="16"/>
      <c r="D11" s="16" t="s">
        <v>88</v>
      </c>
      <c r="E11" s="168" t="s">
        <v>80</v>
      </c>
      <c r="F11" s="169"/>
      <c r="G11" s="17" t="s">
        <v>81</v>
      </c>
      <c r="H11" s="68" t="s">
        <v>89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"רשות מקומית": "authority_name",</v>
      </c>
      <c r="R11" s="14" t="str">
        <f t="shared" si="1"/>
        <v>"authority_name": "string",</v>
      </c>
    </row>
    <row r="12" spans="1:18" ht="15.75" customHeight="1" outlineLevel="1">
      <c r="A12" s="16" t="s">
        <v>90</v>
      </c>
      <c r="B12" s="16" t="s">
        <v>78</v>
      </c>
      <c r="C12" s="16"/>
      <c r="D12" s="16" t="s">
        <v>91</v>
      </c>
      <c r="E12" s="168" t="s">
        <v>80</v>
      </c>
      <c r="F12" s="169"/>
      <c r="G12" s="17" t="s">
        <v>81</v>
      </c>
      <c r="H12" s="68" t="s">
        <v>92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"סוג מתקן": "facility_type",</v>
      </c>
      <c r="R12" s="14" t="str">
        <f t="shared" si="1"/>
        <v>"facility_type": "string",</v>
      </c>
    </row>
    <row r="13" spans="1:18" ht="15.75" customHeight="1" outlineLevel="1">
      <c r="A13" s="16" t="s">
        <v>93</v>
      </c>
      <c r="B13" s="16" t="s">
        <v>78</v>
      </c>
      <c r="C13" s="16"/>
      <c r="D13" s="16" t="s">
        <v>94</v>
      </c>
      <c r="E13" s="168" t="s">
        <v>80</v>
      </c>
      <c r="F13" s="169"/>
      <c r="G13" s="17" t="s">
        <v>81</v>
      </c>
      <c r="H13" s="68" t="s">
        <v>94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"שם המתקן": "facility_name",</v>
      </c>
      <c r="R13" s="14" t="str">
        <f t="shared" si="1"/>
        <v>"facility_name": "string",</v>
      </c>
    </row>
    <row r="14" spans="1:18" ht="15.75" customHeight="1" outlineLevel="1">
      <c r="A14" s="16" t="s">
        <v>95</v>
      </c>
      <c r="B14" s="16" t="s">
        <v>78</v>
      </c>
      <c r="C14" s="16"/>
      <c r="D14" s="16" t="s">
        <v>96</v>
      </c>
      <c r="E14" s="168" t="s">
        <v>80</v>
      </c>
      <c r="F14" s="169"/>
      <c r="G14" s="17" t="s">
        <v>81</v>
      </c>
      <c r="H14" s="68" t="s">
        <v>97</v>
      </c>
      <c r="I14" s="23"/>
      <c r="J14" s="41"/>
      <c r="K14" s="12"/>
      <c r="L14" s="12"/>
      <c r="M14" s="49"/>
      <c r="N14" s="42"/>
      <c r="O14" s="43"/>
      <c r="P14" s="13"/>
      <c r="Q14" s="14" t="str">
        <f t="shared" si="0"/>
        <v>"הערות מיקום": "neighborhood_details",</v>
      </c>
      <c r="R14" s="14" t="str">
        <f t="shared" si="1"/>
        <v>"neighborhood_details": "string",</v>
      </c>
    </row>
    <row r="15" spans="1:18" ht="15.75" customHeight="1" outlineLevel="1">
      <c r="A15" s="16" t="s">
        <v>98</v>
      </c>
      <c r="B15" s="16" t="s">
        <v>78</v>
      </c>
      <c r="C15" s="16"/>
      <c r="D15" s="16" t="s">
        <v>99</v>
      </c>
      <c r="E15" s="168" t="s">
        <v>80</v>
      </c>
      <c r="F15" s="169"/>
      <c r="G15" s="17" t="s">
        <v>81</v>
      </c>
      <c r="H15" s="68" t="s">
        <v>100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"ישוב": "locality_name",</v>
      </c>
      <c r="R15" s="14" t="str">
        <f t="shared" si="1"/>
        <v>"locality_name": "string",</v>
      </c>
    </row>
    <row r="16" spans="1:18" ht="15.75" customHeight="1" outlineLevel="1">
      <c r="A16" s="16" t="s">
        <v>101</v>
      </c>
      <c r="B16" s="16" t="s">
        <v>78</v>
      </c>
      <c r="C16" s="16"/>
      <c r="D16" s="16" t="s">
        <v>102</v>
      </c>
      <c r="E16" s="168" t="s">
        <v>80</v>
      </c>
      <c r="F16" s="169"/>
      <c r="G16" s="17" t="s">
        <v>81</v>
      </c>
      <c r="H16" s="68" t="s">
        <v>103</v>
      </c>
      <c r="I16" s="23"/>
      <c r="J16" s="41"/>
      <c r="K16" s="12"/>
      <c r="L16" s="12"/>
      <c r="M16" s="49"/>
      <c r="N16" s="42"/>
      <c r="O16" s="43"/>
      <c r="P16" s="13"/>
      <c r="Q16" s="14" t="str">
        <f t="shared" si="0"/>
        <v>"רחוב (מעודכן)": "street_name_updated",</v>
      </c>
      <c r="R16" s="14" t="str">
        <f t="shared" si="1"/>
        <v>"street_name_updated": "string",</v>
      </c>
    </row>
    <row r="17" spans="1:18" ht="15.75" customHeight="1" outlineLevel="1">
      <c r="A17" s="16" t="s">
        <v>104</v>
      </c>
      <c r="B17" s="16" t="s">
        <v>78</v>
      </c>
      <c r="C17" s="16"/>
      <c r="D17" s="16" t="s">
        <v>105</v>
      </c>
      <c r="E17" s="168" t="s">
        <v>80</v>
      </c>
      <c r="F17" s="169"/>
      <c r="G17" s="17" t="s">
        <v>81</v>
      </c>
      <c r="H17" s="68" t="s">
        <v>106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"רחוב": "street_name",</v>
      </c>
      <c r="R17" s="14" t="str">
        <f t="shared" si="1"/>
        <v>"street_name": "string",</v>
      </c>
    </row>
    <row r="18" spans="1:18" ht="15.75" customHeight="1" outlineLevel="1">
      <c r="A18" s="16" t="s">
        <v>107</v>
      </c>
      <c r="B18" s="16" t="s">
        <v>78</v>
      </c>
      <c r="C18" s="16"/>
      <c r="D18" s="16" t="s">
        <v>108</v>
      </c>
      <c r="E18" s="168" t="s">
        <v>80</v>
      </c>
      <c r="F18" s="169"/>
      <c r="G18" s="17" t="s">
        <v>81</v>
      </c>
      <c r="H18" s="68" t="s">
        <v>109</v>
      </c>
      <c r="I18" s="23"/>
      <c r="J18" s="41"/>
      <c r="K18" s="12"/>
      <c r="L18" s="12"/>
      <c r="M18" s="49"/>
      <c r="N18" s="240"/>
      <c r="O18" s="241"/>
      <c r="P18" s="13"/>
      <c r="Q18" s="14" t="str">
        <f t="shared" si="0"/>
        <v>"מספר בית": "house_number",</v>
      </c>
      <c r="R18" s="14" t="str">
        <f t="shared" si="1"/>
        <v>"house_number": "string",</v>
      </c>
    </row>
    <row r="19" spans="1:18" ht="15.75" customHeight="1" outlineLevel="1">
      <c r="A19" s="16" t="s">
        <v>110</v>
      </c>
      <c r="B19" s="16" t="s">
        <v>111</v>
      </c>
      <c r="C19" s="16"/>
      <c r="D19" s="16" t="s">
        <v>112</v>
      </c>
      <c r="E19" s="168" t="s">
        <v>80</v>
      </c>
      <c r="F19" s="169"/>
      <c r="G19" s="17" t="s">
        <v>81</v>
      </c>
      <c r="H19" s="68" t="s">
        <v>113</v>
      </c>
      <c r="I19" s="23"/>
      <c r="J19" s="41"/>
      <c r="K19" s="12"/>
      <c r="L19" s="12"/>
      <c r="M19" s="49"/>
      <c r="N19" s="240"/>
      <c r="O19" s="241"/>
      <c r="P19" s="13"/>
      <c r="Q19" s="14" t="str">
        <f t="shared" si="0"/>
        <v>"מספר המבנים": "building_count",</v>
      </c>
      <c r="R19" s="14" t="str">
        <f t="shared" si="1"/>
        <v>"building_count": "Int64",</v>
      </c>
    </row>
    <row r="20" spans="1:18" ht="15.75" customHeight="1" outlineLevel="1">
      <c r="A20" s="16" t="s">
        <v>114</v>
      </c>
      <c r="B20" s="16" t="s">
        <v>78</v>
      </c>
      <c r="C20" s="16"/>
      <c r="D20" s="16" t="s">
        <v>115</v>
      </c>
      <c r="E20" s="168" t="s">
        <v>80</v>
      </c>
      <c r="F20" s="169"/>
      <c r="G20" s="17" t="s">
        <v>81</v>
      </c>
      <c r="H20" s="68" t="s">
        <v>116</v>
      </c>
      <c r="I20" s="23"/>
      <c r="J20" s="41"/>
      <c r="K20" s="12"/>
      <c r="L20" s="12"/>
      <c r="M20" s="49"/>
      <c r="N20" s="240"/>
      <c r="O20" s="241"/>
      <c r="P20" s="13"/>
      <c r="Q20" s="14" t="str">
        <f t="shared" si="0"/>
        <v>"בעלי המתקן": "facility_owner_name",</v>
      </c>
      <c r="R20" s="14" t="str">
        <f t="shared" si="1"/>
        <v>"facility_owner_name": "string",</v>
      </c>
    </row>
    <row r="21" spans="1:18" ht="15.75" customHeight="1" outlineLevel="1">
      <c r="A21" s="16" t="s">
        <v>117</v>
      </c>
      <c r="B21" s="16" t="s">
        <v>78</v>
      </c>
      <c r="C21" s="16"/>
      <c r="D21" s="16" t="s">
        <v>118</v>
      </c>
      <c r="E21" s="168" t="s">
        <v>80</v>
      </c>
      <c r="F21" s="169"/>
      <c r="G21" s="17" t="s">
        <v>81</v>
      </c>
      <c r="H21" s="68" t="s">
        <v>119</v>
      </c>
      <c r="I21" s="23"/>
      <c r="J21" s="41"/>
      <c r="K21" s="12"/>
      <c r="L21" s="12"/>
      <c r="M21" s="49"/>
      <c r="N21" s="240"/>
      <c r="O21" s="241"/>
      <c r="P21" s="13"/>
      <c r="Q21" s="14" t="str">
        <f t="shared" si="0"/>
        <v>"גוף מפעיל המתקן": "facility_operator_name",</v>
      </c>
      <c r="R21" s="14" t="str">
        <f t="shared" si="1"/>
        <v>"facility_operator_name": "string",</v>
      </c>
    </row>
    <row r="22" spans="1:18" ht="15.75" customHeight="1" outlineLevel="1">
      <c r="A22" s="16" t="s">
        <v>120</v>
      </c>
      <c r="B22" s="16" t="s">
        <v>111</v>
      </c>
      <c r="C22" s="16"/>
      <c r="D22" s="16" t="s">
        <v>121</v>
      </c>
      <c r="E22" s="168" t="s">
        <v>80</v>
      </c>
      <c r="F22" s="169"/>
      <c r="G22" s="17" t="s">
        <v>81</v>
      </c>
      <c r="H22" s="68" t="s">
        <v>122</v>
      </c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"מספר מושבים": "seat_count",</v>
      </c>
      <c r="R22" s="14" t="str">
        <f t="shared" si="1"/>
        <v>"seat_count": "Int64",</v>
      </c>
    </row>
    <row r="23" spans="1:18" ht="15.75" customHeight="1" outlineLevel="1">
      <c r="A23" s="16" t="s">
        <v>123</v>
      </c>
      <c r="B23" s="16" t="s">
        <v>78</v>
      </c>
      <c r="C23" s="16"/>
      <c r="D23" s="16" t="s">
        <v>124</v>
      </c>
      <c r="E23" s="168" t="s">
        <v>80</v>
      </c>
      <c r="F23" s="169"/>
      <c r="G23" s="17" t="s">
        <v>81</v>
      </c>
      <c r="H23" s="68" t="s">
        <v>125</v>
      </c>
      <c r="I23" s="23"/>
      <c r="J23" s="41"/>
      <c r="K23" s="12"/>
      <c r="L23" s="12"/>
      <c r="M23" s="49"/>
      <c r="N23" s="42"/>
      <c r="O23" s="43"/>
      <c r="P23" s="13"/>
      <c r="Q23" s="14" t="str">
        <f t="shared" si="0"/>
        <v>"פנוי לפעילות": "available_for_activity",</v>
      </c>
      <c r="R23" s="14" t="str">
        <f t="shared" si="1"/>
        <v>"available_for_activity": "string",</v>
      </c>
    </row>
    <row r="24" spans="1:18" ht="15.75" customHeight="1" outlineLevel="1">
      <c r="A24" s="16" t="s">
        <v>126</v>
      </c>
      <c r="B24" s="16" t="s">
        <v>78</v>
      </c>
      <c r="C24" s="16"/>
      <c r="D24" s="16" t="s">
        <v>127</v>
      </c>
      <c r="E24" s="168" t="s">
        <v>80</v>
      </c>
      <c r="F24" s="169"/>
      <c r="G24" s="17" t="s">
        <v>81</v>
      </c>
      <c r="H24" s="68" t="s">
        <v>128</v>
      </c>
      <c r="I24" s="23"/>
      <c r="J24" s="41"/>
      <c r="K24" s="12"/>
      <c r="L24" s="12"/>
      <c r="M24" s="49"/>
      <c r="N24" s="42"/>
      <c r="O24" s="43"/>
      <c r="P24" s="13"/>
      <c r="Q24" s="14" t="str">
        <f t="shared" si="0"/>
        <v>"גידור קיים": "fencing_exists",</v>
      </c>
      <c r="R24" s="14" t="str">
        <f t="shared" si="1"/>
        <v>"fencing_exists": "string",</v>
      </c>
    </row>
    <row r="25" spans="1:18" ht="15.75" customHeight="1" outlineLevel="1">
      <c r="A25" s="16" t="s">
        <v>129</v>
      </c>
      <c r="B25" s="16" t="s">
        <v>78</v>
      </c>
      <c r="C25" s="16"/>
      <c r="D25" s="16" t="s">
        <v>130</v>
      </c>
      <c r="E25" s="168" t="s">
        <v>80</v>
      </c>
      <c r="F25" s="169"/>
      <c r="G25" s="17" t="s">
        <v>81</v>
      </c>
      <c r="H25" s="68" t="s">
        <v>131</v>
      </c>
      <c r="I25" s="23"/>
      <c r="J25" s="41"/>
      <c r="K25" s="12"/>
      <c r="L25" s="12"/>
      <c r="M25" s="49"/>
      <c r="N25" s="42"/>
      <c r="O25" s="43"/>
      <c r="P25" s="13"/>
      <c r="Q25" s="14" t="str">
        <f t="shared" si="0"/>
        <v>"תאורה קיימת": "lighting_exists",</v>
      </c>
      <c r="R25" s="14" t="str">
        <f t="shared" si="1"/>
        <v>"lighting_exists": "string",</v>
      </c>
    </row>
    <row r="26" spans="1:18" ht="15.75" customHeight="1" outlineLevel="1">
      <c r="A26" s="16" t="s">
        <v>132</v>
      </c>
      <c r="B26" s="16" t="s">
        <v>78</v>
      </c>
      <c r="C26" s="16"/>
      <c r="D26" s="16" t="s">
        <v>133</v>
      </c>
      <c r="E26" s="168" t="s">
        <v>80</v>
      </c>
      <c r="F26" s="169"/>
      <c r="G26" s="17" t="s">
        <v>81</v>
      </c>
      <c r="H26" s="68" t="s">
        <v>134</v>
      </c>
      <c r="I26" s="23"/>
      <c r="J26" s="41"/>
      <c r="K26" s="12"/>
      <c r="L26" s="12"/>
      <c r="M26" s="49"/>
      <c r="N26" s="42"/>
      <c r="O26" s="43"/>
      <c r="P26" s="13"/>
      <c r="Q26" s="14" t="str">
        <f t="shared" si="0"/>
        <v>"נגישות לנכים": "accessibility_for_disabled",</v>
      </c>
      <c r="R26" s="14" t="str">
        <f t="shared" si="1"/>
        <v>"accessibility_for_disabled": "string",</v>
      </c>
    </row>
    <row r="27" spans="1:18" ht="15.75" customHeight="1" outlineLevel="1">
      <c r="A27" s="16" t="s">
        <v>135</v>
      </c>
      <c r="B27" s="16" t="s">
        <v>78</v>
      </c>
      <c r="C27" s="16"/>
      <c r="D27" s="16" t="s">
        <v>136</v>
      </c>
      <c r="E27" s="168" t="s">
        <v>80</v>
      </c>
      <c r="F27" s="169"/>
      <c r="G27" s="17" t="s">
        <v>81</v>
      </c>
      <c r="H27" s="68" t="s">
        <v>137</v>
      </c>
      <c r="I27" s="23"/>
      <c r="J27" s="41"/>
      <c r="K27" s="12"/>
      <c r="L27" s="12"/>
      <c r="M27" s="49"/>
      <c r="N27" s="42"/>
      <c r="O27" s="43"/>
      <c r="P27" s="13"/>
      <c r="Q27" s="14" t="str">
        <f t="shared" si="0"/>
        <v>"חניה לרכבים": "vehicle_parking",</v>
      </c>
      <c r="R27" s="14" t="str">
        <f t="shared" si="1"/>
        <v>"vehicle_parking": "string",</v>
      </c>
    </row>
    <row r="28" spans="1:18" ht="15.75" customHeight="1" outlineLevel="1">
      <c r="A28" s="16" t="s">
        <v>138</v>
      </c>
      <c r="B28" s="16" t="s">
        <v>78</v>
      </c>
      <c r="C28" s="16"/>
      <c r="D28" s="16" t="s">
        <v>139</v>
      </c>
      <c r="E28" s="168" t="s">
        <v>80</v>
      </c>
      <c r="F28" s="169"/>
      <c r="G28" s="17" t="s">
        <v>81</v>
      </c>
      <c r="H28" s="68" t="s">
        <v>139</v>
      </c>
      <c r="I28" s="23"/>
      <c r="J28" s="41"/>
      <c r="K28" s="12"/>
      <c r="L28" s="12"/>
      <c r="M28" s="49"/>
      <c r="N28" s="42"/>
      <c r="O28" s="43"/>
      <c r="P28" s="13"/>
      <c r="Q28" s="14" t="str">
        <f t="shared" si="0"/>
        <v>"מצב המתקן": "facility_condition",</v>
      </c>
      <c r="R28" s="14" t="str">
        <f t="shared" si="1"/>
        <v>"facility_condition": "string",</v>
      </c>
    </row>
    <row r="29" spans="1:18" ht="15.75" customHeight="1" outlineLevel="1">
      <c r="A29" s="16" t="s">
        <v>140</v>
      </c>
      <c r="B29" s="16" t="s">
        <v>78</v>
      </c>
      <c r="C29" s="16"/>
      <c r="D29" s="16" t="s">
        <v>141</v>
      </c>
      <c r="E29" s="168" t="s">
        <v>80</v>
      </c>
      <c r="F29" s="169"/>
      <c r="G29" s="17" t="s">
        <v>81</v>
      </c>
      <c r="H29" s="68" t="s">
        <v>142</v>
      </c>
      <c r="I29" s="23"/>
      <c r="J29" s="41"/>
      <c r="K29" s="12"/>
      <c r="L29" s="12"/>
      <c r="M29" s="49"/>
      <c r="N29" s="42"/>
      <c r="O29" s="43"/>
      <c r="P29" s="13"/>
      <c r="Q29" s="14" t="str">
        <f t="shared" si="0"/>
        <v>"מתקן תקני לתחרויות": "competition_standard",</v>
      </c>
      <c r="R29" s="14" t="str">
        <f t="shared" si="1"/>
        <v>"competition_standard": "string",</v>
      </c>
    </row>
    <row r="30" spans="1:18" ht="15.75" customHeight="1" outlineLevel="1">
      <c r="A30" s="16" t="s">
        <v>143</v>
      </c>
      <c r="B30" s="16" t="s">
        <v>78</v>
      </c>
      <c r="C30" s="16"/>
      <c r="D30" s="16" t="s">
        <v>144</v>
      </c>
      <c r="E30" s="168" t="s">
        <v>80</v>
      </c>
      <c r="F30" s="169"/>
      <c r="G30" s="17" t="s">
        <v>81</v>
      </c>
      <c r="H30" s="68" t="s">
        <v>145</v>
      </c>
      <c r="I30" s="23"/>
      <c r="J30" s="41"/>
      <c r="K30" s="12"/>
      <c r="L30" s="12"/>
      <c r="M30" s="49"/>
      <c r="N30" s="42"/>
      <c r="O30" s="43"/>
      <c r="P30" s="13"/>
      <c r="Q30" s="14" t="str">
        <f t="shared" si="0"/>
        <v>"שימוש לתחרויות רשמיות": "official_competition_use",</v>
      </c>
      <c r="R30" s="14" t="str">
        <f t="shared" si="1"/>
        <v>"official_competition_use": "string",</v>
      </c>
    </row>
    <row r="31" spans="1:18" ht="15.75" customHeight="1" outlineLevel="1">
      <c r="A31" s="16" t="s">
        <v>146</v>
      </c>
      <c r="B31" s="16" t="s">
        <v>111</v>
      </c>
      <c r="C31" s="16"/>
      <c r="D31" s="16" t="s">
        <v>147</v>
      </c>
      <c r="E31" s="168" t="s">
        <v>80</v>
      </c>
      <c r="F31" s="169"/>
      <c r="G31" s="17" t="s">
        <v>81</v>
      </c>
      <c r="H31" s="68" t="s">
        <v>148</v>
      </c>
      <c r="I31" s="23"/>
      <c r="J31" s="41"/>
      <c r="K31" s="12"/>
      <c r="L31" s="12"/>
      <c r="M31" s="49"/>
      <c r="N31" s="42"/>
      <c r="O31" s="43"/>
      <c r="P31" s="13"/>
      <c r="Q31" s="14" t="str">
        <f t="shared" si="0"/>
        <v>"שנת הקמה": "establishment_year",</v>
      </c>
      <c r="R31" s="14" t="str">
        <f t="shared" si="1"/>
        <v>"establishment_year": "Int64",</v>
      </c>
    </row>
    <row r="32" spans="1:18" ht="15.75" customHeight="1" outlineLevel="1">
      <c r="A32" s="16" t="s">
        <v>149</v>
      </c>
      <c r="B32" s="16" t="s">
        <v>78</v>
      </c>
      <c r="C32" s="16"/>
      <c r="D32" s="16" t="s">
        <v>150</v>
      </c>
      <c r="E32" s="168" t="s">
        <v>80</v>
      </c>
      <c r="F32" s="169"/>
      <c r="G32" s="17" t="s">
        <v>81</v>
      </c>
      <c r="H32" s="68" t="s">
        <v>151</v>
      </c>
      <c r="I32" s="23"/>
      <c r="J32" s="41"/>
      <c r="K32" s="12"/>
      <c r="L32" s="12"/>
      <c r="M32" s="49"/>
      <c r="N32" s="42"/>
      <c r="O32" s="43"/>
      <c r="P32" s="13"/>
      <c r="Q32" s="14" t="str">
        <f t="shared" si="0"/>
        <v>"משרת בית ספר (שם בי"ס)": "school_served",</v>
      </c>
      <c r="R32" s="14" t="str">
        <f t="shared" si="1"/>
        <v>"school_served": "string",</v>
      </c>
    </row>
    <row r="33" spans="1:22" ht="15.75" customHeight="1" outlineLevel="1">
      <c r="A33" s="16" t="s">
        <v>152</v>
      </c>
      <c r="B33" s="16" t="s">
        <v>78</v>
      </c>
      <c r="C33" s="16"/>
      <c r="D33" s="16" t="s">
        <v>153</v>
      </c>
      <c r="E33" s="168" t="s">
        <v>80</v>
      </c>
      <c r="F33" s="169"/>
      <c r="G33" s="17" t="s">
        <v>81</v>
      </c>
      <c r="H33" s="68" t="s">
        <v>154</v>
      </c>
      <c r="I33" s="23"/>
      <c r="J33" s="41"/>
      <c r="K33" s="12"/>
      <c r="L33" s="12"/>
      <c r="M33" s="49"/>
      <c r="N33" s="42"/>
      <c r="O33" s="43"/>
      <c r="P33" s="13"/>
      <c r="Q33" s="14" t="str">
        <f t="shared" si="0"/>
        <v>"הערות": "notes",</v>
      </c>
      <c r="R33" s="14" t="str">
        <f t="shared" si="1"/>
        <v>"notes": "string",</v>
      </c>
    </row>
    <row r="34" spans="1:22" ht="15.75" customHeight="1" outlineLevel="1">
      <c r="A34" s="16" t="s">
        <v>155</v>
      </c>
      <c r="B34" s="16" t="s">
        <v>78</v>
      </c>
      <c r="C34" s="16" t="s">
        <v>156</v>
      </c>
      <c r="D34" s="16" t="s">
        <v>157</v>
      </c>
      <c r="E34" s="168" t="s">
        <v>80</v>
      </c>
      <c r="F34" s="169"/>
      <c r="G34" s="17" t="s">
        <v>81</v>
      </c>
      <c r="H34" s="68" t="s">
        <v>158</v>
      </c>
      <c r="I34" s="23"/>
      <c r="J34" s="41"/>
      <c r="K34" s="12"/>
      <c r="L34" s="12"/>
      <c r="M34" s="49"/>
      <c r="N34" s="42"/>
      <c r="O34" s="43"/>
      <c r="P34" s="13"/>
      <c r="Q34" s="14" t="str">
        <f t="shared" si="0"/>
        <v>"מזהה מתקן": "facility_id",</v>
      </c>
      <c r="R34" s="14" t="str">
        <f t="shared" si="1"/>
        <v>"facility_id": "string",</v>
      </c>
    </row>
    <row r="35" spans="1:22" ht="15.75" customHeight="1" outlineLevel="1">
      <c r="A35" s="16" t="s">
        <v>159</v>
      </c>
      <c r="B35" s="16" t="s">
        <v>78</v>
      </c>
      <c r="C35" s="16"/>
      <c r="D35" s="16" t="s">
        <v>160</v>
      </c>
      <c r="E35" s="168" t="s">
        <v>80</v>
      </c>
      <c r="F35" s="169"/>
      <c r="G35" s="17" t="s">
        <v>81</v>
      </c>
      <c r="H35" s="68" t="s">
        <v>160</v>
      </c>
      <c r="I35" s="23"/>
      <c r="J35" s="41"/>
      <c r="K35" s="12"/>
      <c r="L35" s="12"/>
      <c r="M35" s="49"/>
      <c r="N35" s="42"/>
      <c r="O35" s="43"/>
      <c r="P35" s="13"/>
      <c r="Q35" s="14" t="str">
        <f t="shared" si="0"/>
        <v>"דגל לבדיקה": "inspection_flag",</v>
      </c>
      <c r="R35" s="14" t="str">
        <f t="shared" si="1"/>
        <v>"inspection_flag": "string",</v>
      </c>
    </row>
    <row r="36" spans="1:22" ht="15.75" customHeight="1" outlineLevel="1">
      <c r="A36" s="16" t="s">
        <v>161</v>
      </c>
      <c r="B36" s="16" t="s">
        <v>78</v>
      </c>
      <c r="C36" s="16"/>
      <c r="D36" s="16" t="s">
        <v>162</v>
      </c>
      <c r="E36" s="168" t="s">
        <v>80</v>
      </c>
      <c r="F36" s="169"/>
      <c r="G36" s="17" t="s">
        <v>81</v>
      </c>
      <c r="H36" s="68" t="s">
        <v>163</v>
      </c>
      <c r="I36" s="23"/>
      <c r="J36" s="41"/>
      <c r="K36" s="12"/>
      <c r="L36" s="12"/>
      <c r="M36" s="49"/>
      <c r="N36" s="42"/>
      <c r="O36" s="43"/>
      <c r="P36" s="13"/>
      <c r="Q36" s="14" t="str">
        <f t="shared" si="0"/>
        <v>"סוג בעלים של המתקן (עירייה/חכ"ל/פרטי)": "owner_type",</v>
      </c>
      <c r="R36" s="14" t="str">
        <f t="shared" si="1"/>
        <v>"owner_type": "string",</v>
      </c>
    </row>
    <row r="37" spans="1:22" ht="15.75" customHeight="1" outlineLevel="1">
      <c r="A37" s="16" t="s">
        <v>164</v>
      </c>
      <c r="B37" s="16" t="s">
        <v>78</v>
      </c>
      <c r="C37" s="16"/>
      <c r="D37" s="16" t="s">
        <v>165</v>
      </c>
      <c r="E37" s="168" t="s">
        <v>80</v>
      </c>
      <c r="F37" s="169"/>
      <c r="G37" s="17" t="s">
        <v>81</v>
      </c>
      <c r="H37" s="68" t="s">
        <v>166</v>
      </c>
      <c r="I37" s="23"/>
      <c r="J37" s="41"/>
      <c r="K37" s="12"/>
      <c r="L37" s="12"/>
      <c r="M37" s="49"/>
      <c r="N37" s="42"/>
      <c r="O37" s="43"/>
      <c r="P37" s="13"/>
      <c r="Q37" s="14" t="str">
        <f t="shared" si="0"/>
        <v>"מזהה בעלים (ח.פ. ד.נ.)": "owner_id",</v>
      </c>
      <c r="R37" s="14" t="str">
        <f t="shared" si="1"/>
        <v>"owner_id": "string",</v>
      </c>
    </row>
    <row r="38" spans="1:22" ht="15.75" customHeight="1" outlineLevel="1">
      <c r="A38" s="16" t="s">
        <v>167</v>
      </c>
      <c r="B38" s="16" t="s">
        <v>78</v>
      </c>
      <c r="C38" s="16"/>
      <c r="D38" s="16" t="s">
        <v>168</v>
      </c>
      <c r="E38" s="168" t="s">
        <v>80</v>
      </c>
      <c r="F38" s="169"/>
      <c r="G38" s="17" t="s">
        <v>81</v>
      </c>
      <c r="H38" s="68" t="s">
        <v>169</v>
      </c>
      <c r="I38" s="23"/>
      <c r="J38" s="41"/>
      <c r="K38" s="12"/>
      <c r="L38" s="12"/>
      <c r="M38" s="49"/>
      <c r="N38" s="42"/>
      <c r="O38" s="43"/>
      <c r="P38" s="13"/>
      <c r="Q38" s="14" t="str">
        <f t="shared" si="0"/>
        <v>"סטטוס מחזור חיים": "lifecycle_status",</v>
      </c>
      <c r="R38" s="14" t="str">
        <f t="shared" si="1"/>
        <v>"lifecycle_status": "string",</v>
      </c>
    </row>
    <row r="39" spans="1:22" ht="15.75" customHeight="1" outlineLevel="1">
      <c r="A39" s="16" t="s">
        <v>170</v>
      </c>
      <c r="B39" s="16" t="s">
        <v>78</v>
      </c>
      <c r="C39" s="16"/>
      <c r="D39" s="16" t="s">
        <v>171</v>
      </c>
      <c r="E39" s="168" t="s">
        <v>80</v>
      </c>
      <c r="F39" s="169"/>
      <c r="G39" s="17" t="s">
        <v>81</v>
      </c>
      <c r="H39" s="68" t="s">
        <v>172</v>
      </c>
      <c r="I39" s="23"/>
      <c r="J39" s="41"/>
      <c r="K39" s="12"/>
      <c r="L39" s="12"/>
      <c r="M39" s="49"/>
      <c r="N39" s="42"/>
      <c r="O39" s="43"/>
      <c r="P39" s="13"/>
      <c r="Q39" s="14" t="str">
        <f t="shared" si="0"/>
        <v>"תאריך עדכון אחרון": "last_updated_date",</v>
      </c>
      <c r="R39" s="14" t="str">
        <f t="shared" si="1"/>
        <v>"last_updated_date": "string",</v>
      </c>
    </row>
    <row r="40" spans="1:22" ht="15.75" customHeight="1" outlineLevel="1">
      <c r="A40" s="16" t="s">
        <v>173</v>
      </c>
      <c r="B40" s="16" t="s">
        <v>78</v>
      </c>
      <c r="C40" s="16"/>
      <c r="D40" s="16" t="s">
        <v>174</v>
      </c>
      <c r="E40" s="168" t="s">
        <v>80</v>
      </c>
      <c r="F40" s="169"/>
      <c r="G40" s="17" t="s">
        <v>81</v>
      </c>
      <c r="H40" s="68" t="s">
        <v>175</v>
      </c>
      <c r="I40" s="23"/>
      <c r="J40" s="41"/>
      <c r="K40" s="12"/>
      <c r="L40" s="12"/>
      <c r="M40" s="49"/>
      <c r="N40" s="240"/>
      <c r="O40" s="241"/>
      <c r="P40" s="13"/>
      <c r="Q40" s="14" t="str">
        <f t="shared" si="0"/>
        <v>"מי עדכן": "updated_by",</v>
      </c>
      <c r="R40" s="14" t="str">
        <f t="shared" si="1"/>
        <v>"updated_by": "string",</v>
      </c>
    </row>
    <row r="41" spans="1:22" ht="15.75" customHeight="1" outlineLevel="1">
      <c r="A41" s="16" t="s">
        <v>176</v>
      </c>
      <c r="B41" s="16" t="s">
        <v>78</v>
      </c>
      <c r="C41" s="16"/>
      <c r="D41" s="16" t="s">
        <v>177</v>
      </c>
      <c r="E41" s="168" t="s">
        <v>80</v>
      </c>
      <c r="F41" s="169"/>
      <c r="G41" s="17" t="s">
        <v>81</v>
      </c>
      <c r="H41" s="22" t="s">
        <v>177</v>
      </c>
      <c r="I41" s="23"/>
      <c r="J41" s="41"/>
      <c r="K41" s="12"/>
      <c r="L41" s="12"/>
      <c r="M41" s="49"/>
      <c r="N41" s="240"/>
      <c r="O41" s="241"/>
      <c r="P41" s="13"/>
      <c r="Q41" s="14" t="str">
        <f t="shared" si="0"/>
        <v>"מקור הנתון": "data_source",</v>
      </c>
      <c r="R41" s="14" t="str">
        <f t="shared" si="1"/>
        <v>"data_source": "string",</v>
      </c>
    </row>
    <row r="42" spans="1:22" ht="15.75" customHeight="1" outlineLevel="1">
      <c r="A42" s="37"/>
      <c r="B42" s="34"/>
      <c r="C42" s="36"/>
      <c r="D42" s="16"/>
      <c r="E42" s="168"/>
      <c r="F42" s="169"/>
      <c r="G42" s="17"/>
      <c r="H42" s="22"/>
      <c r="I42" s="145"/>
      <c r="J42" s="41"/>
      <c r="K42" s="12"/>
      <c r="L42" s="12"/>
      <c r="M42" s="45"/>
      <c r="N42" s="42"/>
      <c r="O42" s="43"/>
      <c r="P42" s="4"/>
      <c r="Q42" s="14" t="str">
        <f>CONCATENATE($Q$2,H64,$R$2,A64,$Q$2,",")</f>
        <v>"": "Leave Empty",</v>
      </c>
      <c r="R42" s="14" t="str">
        <f>CONCATENATE($Q$2,A64,$R$2,B64,$Q$2,",")</f>
        <v>"Leave Empty": "",</v>
      </c>
    </row>
    <row r="43" spans="1:22" ht="15.75" customHeight="1">
      <c r="A43" s="37"/>
      <c r="B43" s="34"/>
      <c r="C43" s="36"/>
      <c r="D43" s="16"/>
      <c r="E43" s="168"/>
      <c r="F43" s="169"/>
      <c r="G43" s="17"/>
      <c r="H43" s="22"/>
      <c r="I43" s="145"/>
      <c r="J43" s="41"/>
      <c r="K43" s="12"/>
      <c r="L43" s="12"/>
      <c r="M43" s="45"/>
      <c r="N43" s="42"/>
      <c r="O43" s="43"/>
      <c r="P43" s="4"/>
      <c r="Q43" s="5" t="s">
        <v>178</v>
      </c>
      <c r="R43" s="5" t="s">
        <v>178</v>
      </c>
    </row>
    <row r="44" spans="1:22" ht="15.75" customHeight="1">
      <c r="A44" s="37" t="s">
        <v>179</v>
      </c>
      <c r="B44" s="34" t="s">
        <v>78</v>
      </c>
      <c r="C44" s="36"/>
      <c r="D44" s="16" t="s">
        <v>180</v>
      </c>
      <c r="E44" s="168" t="s">
        <v>181</v>
      </c>
      <c r="F44" s="169"/>
      <c r="G44" s="17" t="s">
        <v>182</v>
      </c>
      <c r="H44" s="22" t="s">
        <v>183</v>
      </c>
      <c r="I44" s="145" t="s">
        <v>184</v>
      </c>
      <c r="J44" s="41"/>
      <c r="K44" s="12"/>
      <c r="L44" s="12"/>
      <c r="M44" s="45"/>
      <c r="N44" s="42"/>
      <c r="O44" s="43"/>
      <c r="P44" s="4"/>
    </row>
    <row r="45" spans="1:22" s="18" customFormat="1" ht="15.75" customHeight="1">
      <c r="A45" s="37" t="s">
        <v>185</v>
      </c>
      <c r="B45" s="34" t="s">
        <v>78</v>
      </c>
      <c r="C45" s="36"/>
      <c r="D45" s="16" t="s">
        <v>186</v>
      </c>
      <c r="E45" s="168" t="s">
        <v>181</v>
      </c>
      <c r="F45" s="169"/>
      <c r="G45" s="17" t="s">
        <v>182</v>
      </c>
      <c r="H45" s="22" t="s">
        <v>187</v>
      </c>
      <c r="I45" s="145" t="s">
        <v>188</v>
      </c>
      <c r="J45" s="41"/>
      <c r="K45" s="12"/>
      <c r="L45" s="12"/>
      <c r="M45" s="45"/>
      <c r="N45" s="42"/>
      <c r="O45" s="43"/>
      <c r="P45" s="4"/>
      <c r="Q45"/>
      <c r="R45"/>
      <c r="S45"/>
      <c r="T45"/>
      <c r="U45"/>
      <c r="V45"/>
    </row>
    <row r="46" spans="1:22" s="18" customFormat="1" ht="15.75" customHeight="1">
      <c r="A46" s="37" t="s">
        <v>189</v>
      </c>
      <c r="B46" s="34" t="s">
        <v>78</v>
      </c>
      <c r="C46" s="36"/>
      <c r="D46" s="16" t="s">
        <v>190</v>
      </c>
      <c r="E46" s="168" t="s">
        <v>181</v>
      </c>
      <c r="F46" s="169"/>
      <c r="G46" s="17" t="s">
        <v>182</v>
      </c>
      <c r="H46" s="22" t="s">
        <v>187</v>
      </c>
      <c r="I46" s="145" t="s">
        <v>191</v>
      </c>
      <c r="J46" s="41"/>
      <c r="K46" s="12"/>
      <c r="L46" s="12"/>
      <c r="M46" s="45"/>
      <c r="N46" s="42"/>
      <c r="O46" s="43"/>
      <c r="P46" s="4"/>
      <c r="Q46"/>
      <c r="R46"/>
      <c r="S46"/>
      <c r="T46"/>
      <c r="U46"/>
      <c r="V46"/>
    </row>
    <row r="47" spans="1:22" s="18" customFormat="1" ht="15.75" customHeight="1">
      <c r="A47" s="37" t="s">
        <v>192</v>
      </c>
      <c r="B47" s="34" t="s">
        <v>78</v>
      </c>
      <c r="C47" s="36"/>
      <c r="D47" s="16" t="s">
        <v>193</v>
      </c>
      <c r="E47" s="168" t="s">
        <v>181</v>
      </c>
      <c r="F47" s="169"/>
      <c r="G47" s="17" t="s">
        <v>182</v>
      </c>
      <c r="H47" s="22" t="s">
        <v>194</v>
      </c>
      <c r="I47" s="145" t="s">
        <v>195</v>
      </c>
      <c r="J47" s="41"/>
      <c r="K47" s="12"/>
      <c r="L47" s="12"/>
      <c r="M47" s="45"/>
      <c r="N47" s="42"/>
      <c r="O47" s="43"/>
      <c r="P47" s="4"/>
      <c r="Q47"/>
      <c r="R47"/>
      <c r="S47"/>
      <c r="T47"/>
      <c r="U47"/>
      <c r="V47"/>
    </row>
    <row r="48" spans="1:22" s="18" customFormat="1" ht="15.75" customHeight="1">
      <c r="A48" s="37" t="s">
        <v>196</v>
      </c>
      <c r="B48" s="34" t="s">
        <v>78</v>
      </c>
      <c r="C48" s="36"/>
      <c r="D48" s="16" t="s">
        <v>197</v>
      </c>
      <c r="E48" s="168" t="s">
        <v>181</v>
      </c>
      <c r="F48" s="169"/>
      <c r="G48" s="17" t="s">
        <v>182</v>
      </c>
      <c r="H48" s="22" t="s">
        <v>198</v>
      </c>
      <c r="I48" s="145" t="s">
        <v>199</v>
      </c>
      <c r="J48" s="41"/>
      <c r="K48" s="12"/>
      <c r="L48" s="12"/>
      <c r="M48" s="45"/>
      <c r="N48" s="42"/>
      <c r="O48" s="43"/>
      <c r="P48" s="4"/>
      <c r="Q48"/>
      <c r="R48"/>
      <c r="S48"/>
      <c r="T48"/>
      <c r="U48"/>
      <c r="V48"/>
    </row>
    <row r="49" spans="1:22" s="18" customFormat="1" ht="15.75" customHeight="1">
      <c r="A49" s="37" t="s">
        <v>200</v>
      </c>
      <c r="B49" s="34" t="s">
        <v>78</v>
      </c>
      <c r="C49" s="36"/>
      <c r="D49" s="16" t="s">
        <v>201</v>
      </c>
      <c r="E49" s="168" t="s">
        <v>181</v>
      </c>
      <c r="F49" s="169"/>
      <c r="G49" s="17" t="s">
        <v>182</v>
      </c>
      <c r="H49" s="22" t="s">
        <v>107</v>
      </c>
      <c r="I49" s="145" t="s">
        <v>202</v>
      </c>
      <c r="J49" s="41"/>
      <c r="K49" s="12"/>
      <c r="L49" s="12"/>
      <c r="M49" s="45"/>
      <c r="N49" s="42"/>
      <c r="O49" s="43"/>
      <c r="P49" s="4"/>
      <c r="Q49"/>
      <c r="R49"/>
      <c r="S49"/>
      <c r="T49"/>
      <c r="U49"/>
      <c r="V49"/>
    </row>
    <row r="50" spans="1:22" s="18" customFormat="1" ht="15.75" customHeight="1">
      <c r="A50" s="37" t="s">
        <v>203</v>
      </c>
      <c r="B50" s="34" t="s">
        <v>78</v>
      </c>
      <c r="C50" s="36"/>
      <c r="D50" s="16" t="s">
        <v>204</v>
      </c>
      <c r="E50" s="168" t="s">
        <v>205</v>
      </c>
      <c r="F50" s="169"/>
      <c r="G50" s="17" t="s">
        <v>182</v>
      </c>
      <c r="H50" s="22" t="s">
        <v>206</v>
      </c>
      <c r="I50" s="145" t="s">
        <v>207</v>
      </c>
      <c r="J50" s="41"/>
      <c r="K50" s="12"/>
      <c r="L50" s="12"/>
      <c r="M50" s="45"/>
      <c r="N50" s="42"/>
      <c r="O50" s="43"/>
      <c r="P50" s="4"/>
      <c r="Q50"/>
      <c r="R50"/>
      <c r="S50"/>
      <c r="T50"/>
      <c r="U50"/>
      <c r="V50"/>
    </row>
    <row r="51" spans="1:22" s="18" customFormat="1" ht="15.75" customHeight="1">
      <c r="A51" s="37" t="s">
        <v>208</v>
      </c>
      <c r="B51" s="34" t="s">
        <v>78</v>
      </c>
      <c r="C51" s="36"/>
      <c r="D51" s="16" t="s">
        <v>209</v>
      </c>
      <c r="E51" s="168" t="s">
        <v>205</v>
      </c>
      <c r="F51" s="169"/>
      <c r="G51" s="17" t="s">
        <v>182</v>
      </c>
      <c r="H51" s="22" t="s">
        <v>210</v>
      </c>
      <c r="I51" s="145" t="s">
        <v>211</v>
      </c>
      <c r="J51" s="41"/>
      <c r="K51" s="12"/>
      <c r="L51" s="12"/>
      <c r="M51" s="45"/>
      <c r="N51" s="42"/>
      <c r="O51" s="43"/>
      <c r="P51" s="4"/>
      <c r="Q51"/>
      <c r="R51"/>
      <c r="S51"/>
      <c r="T51"/>
      <c r="U51"/>
      <c r="V51"/>
    </row>
    <row r="52" spans="1:22" s="18" customFormat="1" ht="15.75" customHeight="1">
      <c r="A52" s="37" t="s">
        <v>212</v>
      </c>
      <c r="B52" s="34" t="s">
        <v>78</v>
      </c>
      <c r="C52" s="36"/>
      <c r="D52" s="16" t="s">
        <v>213</v>
      </c>
      <c r="E52" s="168" t="s">
        <v>205</v>
      </c>
      <c r="F52" s="169"/>
      <c r="G52" s="17" t="s">
        <v>182</v>
      </c>
      <c r="H52" s="22" t="s">
        <v>214</v>
      </c>
      <c r="I52" s="145" t="s">
        <v>215</v>
      </c>
      <c r="J52" s="41"/>
      <c r="K52" s="12"/>
      <c r="L52" s="12"/>
      <c r="M52" s="45"/>
      <c r="N52" s="42"/>
      <c r="O52" s="43"/>
      <c r="P52" s="4"/>
      <c r="Q52"/>
      <c r="R52"/>
      <c r="S52"/>
      <c r="T52"/>
      <c r="U52"/>
      <c r="V52"/>
    </row>
    <row r="53" spans="1:22" s="18" customFormat="1" ht="15.75" customHeight="1">
      <c r="A53" s="37" t="s">
        <v>216</v>
      </c>
      <c r="B53" s="34" t="s">
        <v>217</v>
      </c>
      <c r="C53" s="36"/>
      <c r="D53" s="16" t="s">
        <v>218</v>
      </c>
      <c r="E53" s="168" t="s">
        <v>205</v>
      </c>
      <c r="F53" s="169"/>
      <c r="G53" s="17" t="s">
        <v>182</v>
      </c>
      <c r="H53" s="22" t="s">
        <v>219</v>
      </c>
      <c r="I53" s="145" t="s">
        <v>220</v>
      </c>
      <c r="J53" s="41"/>
      <c r="K53" s="12"/>
      <c r="L53" s="12"/>
      <c r="M53" s="45"/>
      <c r="N53" s="42"/>
      <c r="O53" s="43"/>
      <c r="P53" s="4"/>
      <c r="Q53"/>
      <c r="R53"/>
      <c r="S53"/>
      <c r="T53"/>
      <c r="U53"/>
      <c r="V53"/>
    </row>
    <row r="54" spans="1:22" s="18" customFormat="1" ht="15.75" customHeight="1">
      <c r="A54" s="37" t="s">
        <v>221</v>
      </c>
      <c r="B54" s="34" t="s">
        <v>78</v>
      </c>
      <c r="C54" s="36"/>
      <c r="D54" s="16" t="s">
        <v>222</v>
      </c>
      <c r="E54" s="168" t="s">
        <v>205</v>
      </c>
      <c r="F54" s="169"/>
      <c r="G54" s="17" t="s">
        <v>182</v>
      </c>
      <c r="H54" s="22" t="s">
        <v>223</v>
      </c>
      <c r="I54" s="145" t="s">
        <v>224</v>
      </c>
      <c r="J54" s="41"/>
      <c r="K54" s="12"/>
      <c r="L54" s="12"/>
      <c r="M54" s="45"/>
      <c r="N54" s="42"/>
      <c r="O54" s="43"/>
      <c r="P54" s="4"/>
      <c r="Q54"/>
      <c r="R54"/>
      <c r="S54"/>
      <c r="T54"/>
      <c r="U54"/>
      <c r="V54"/>
    </row>
    <row r="55" spans="1:22" s="18" customFormat="1" ht="15.75" customHeight="1">
      <c r="A55" s="37" t="s">
        <v>225</v>
      </c>
      <c r="B55" s="34" t="s">
        <v>217</v>
      </c>
      <c r="C55" s="36"/>
      <c r="D55" s="16" t="s">
        <v>226</v>
      </c>
      <c r="E55" s="168" t="s">
        <v>181</v>
      </c>
      <c r="F55" s="169"/>
      <c r="G55" s="17" t="s">
        <v>182</v>
      </c>
      <c r="H55" s="22" t="s">
        <v>221</v>
      </c>
      <c r="I55" s="145" t="s">
        <v>227</v>
      </c>
      <c r="J55" s="41"/>
      <c r="K55" s="12"/>
      <c r="L55" s="12"/>
      <c r="M55" s="45"/>
      <c r="N55" s="42"/>
      <c r="O55" s="43"/>
      <c r="P55" s="4"/>
      <c r="Q55"/>
      <c r="R55"/>
      <c r="S55"/>
      <c r="T55"/>
      <c r="U55"/>
      <c r="V55"/>
    </row>
    <row r="56" spans="1:22" s="18" customFormat="1" ht="15.75" customHeight="1">
      <c r="A56" s="37" t="s">
        <v>228</v>
      </c>
      <c r="B56" s="34" t="s">
        <v>217</v>
      </c>
      <c r="C56" s="36"/>
      <c r="D56" s="16" t="s">
        <v>229</v>
      </c>
      <c r="E56" s="168" t="s">
        <v>181</v>
      </c>
      <c r="F56" s="169"/>
      <c r="G56" s="17" t="s">
        <v>182</v>
      </c>
      <c r="H56" s="22" t="s">
        <v>221</v>
      </c>
      <c r="I56" s="145" t="s">
        <v>230</v>
      </c>
      <c r="J56" s="41"/>
      <c r="K56" s="12"/>
      <c r="L56" s="12"/>
      <c r="M56" s="45"/>
      <c r="N56" s="42"/>
      <c r="O56" s="43"/>
      <c r="P56" s="4"/>
      <c r="Q56"/>
      <c r="R56"/>
      <c r="S56"/>
      <c r="T56"/>
      <c r="U56"/>
      <c r="V56"/>
    </row>
    <row r="57" spans="1:22" s="18" customFormat="1" ht="15.75" customHeight="1">
      <c r="A57" s="37" t="s">
        <v>231</v>
      </c>
      <c r="B57" s="34" t="s">
        <v>217</v>
      </c>
      <c r="C57" s="36"/>
      <c r="D57" s="16" t="s">
        <v>232</v>
      </c>
      <c r="E57" s="168" t="s">
        <v>181</v>
      </c>
      <c r="F57" s="169"/>
      <c r="G57" s="17" t="s">
        <v>182</v>
      </c>
      <c r="H57" s="22" t="s">
        <v>233</v>
      </c>
      <c r="I57" s="145" t="s">
        <v>234</v>
      </c>
      <c r="J57" s="41"/>
      <c r="K57" s="12"/>
      <c r="L57" s="12"/>
      <c r="M57" s="45"/>
      <c r="N57" s="42"/>
      <c r="O57" s="43"/>
      <c r="P57" s="4"/>
      <c r="Q57"/>
      <c r="R57"/>
      <c r="S57"/>
      <c r="T57"/>
      <c r="U57"/>
      <c r="V57"/>
    </row>
    <row r="58" spans="1:22" s="18" customFormat="1" ht="15.75" customHeight="1">
      <c r="A58" s="37" t="s">
        <v>235</v>
      </c>
      <c r="B58" s="34" t="s">
        <v>217</v>
      </c>
      <c r="C58" s="36"/>
      <c r="D58" s="16" t="s">
        <v>236</v>
      </c>
      <c r="E58" s="168" t="s">
        <v>181</v>
      </c>
      <c r="F58" s="169"/>
      <c r="G58" s="17" t="s">
        <v>182</v>
      </c>
      <c r="H58" s="22" t="s">
        <v>233</v>
      </c>
      <c r="I58" s="145" t="s">
        <v>237</v>
      </c>
      <c r="J58" s="41"/>
      <c r="K58" s="12"/>
      <c r="L58" s="12"/>
      <c r="M58" s="45"/>
      <c r="N58" s="42"/>
      <c r="O58" s="43"/>
      <c r="P58" s="4"/>
      <c r="Q58"/>
      <c r="R58"/>
      <c r="S58"/>
      <c r="T58"/>
      <c r="U58"/>
      <c r="V58"/>
    </row>
    <row r="59" spans="1:22" s="18" customFormat="1" ht="15.75" customHeight="1">
      <c r="A59" s="37" t="s">
        <v>238</v>
      </c>
      <c r="B59" s="34" t="s">
        <v>239</v>
      </c>
      <c r="C59" s="36"/>
      <c r="D59" s="16" t="s">
        <v>240</v>
      </c>
      <c r="E59" s="168" t="s">
        <v>181</v>
      </c>
      <c r="F59" s="169"/>
      <c r="G59" s="17" t="s">
        <v>182</v>
      </c>
      <c r="H59" s="22" t="s">
        <v>241</v>
      </c>
      <c r="I59" s="145" t="s">
        <v>242</v>
      </c>
      <c r="J59" s="41"/>
      <c r="K59" s="12"/>
      <c r="L59" s="12"/>
      <c r="M59" s="45"/>
      <c r="N59" s="42"/>
      <c r="O59" s="43"/>
      <c r="P59" s="4"/>
      <c r="Q59"/>
      <c r="R59"/>
      <c r="S59"/>
      <c r="T59"/>
      <c r="U59"/>
      <c r="V59"/>
    </row>
    <row r="60" spans="1:22" s="18" customFormat="1" ht="15.75" customHeight="1">
      <c r="A60" s="37"/>
      <c r="B60" s="34"/>
      <c r="C60" s="36"/>
      <c r="D60" s="16"/>
      <c r="E60" s="46"/>
      <c r="F60" s="47"/>
      <c r="G60" s="17"/>
      <c r="H60" s="22"/>
      <c r="I60" s="145"/>
      <c r="J60" s="41"/>
      <c r="K60" s="12"/>
      <c r="L60" s="12"/>
      <c r="M60" s="45"/>
      <c r="N60" s="42"/>
      <c r="O60" s="43"/>
      <c r="P60" s="4"/>
      <c r="Q60"/>
      <c r="R60"/>
      <c r="S60"/>
      <c r="T60"/>
      <c r="U60"/>
      <c r="V60"/>
    </row>
    <row r="61" spans="1:22" s="18" customFormat="1" ht="15.75" customHeight="1">
      <c r="A61" s="37"/>
      <c r="B61" s="34"/>
      <c r="C61" s="36"/>
      <c r="D61" s="16"/>
      <c r="E61" s="46"/>
      <c r="F61" s="47"/>
      <c r="G61" s="17"/>
      <c r="H61" s="22"/>
      <c r="I61" s="145"/>
      <c r="J61" s="41"/>
      <c r="K61" s="12"/>
      <c r="L61" s="12"/>
      <c r="M61" s="45"/>
      <c r="N61" s="42"/>
      <c r="O61" s="43"/>
      <c r="P61" s="4"/>
      <c r="Q61"/>
      <c r="R61"/>
      <c r="S61"/>
      <c r="T61"/>
      <c r="U61"/>
      <c r="V61"/>
    </row>
    <row r="62" spans="1:22" s="18" customFormat="1" ht="15.75" customHeight="1">
      <c r="A62" s="37"/>
      <c r="B62" s="34"/>
      <c r="C62" s="36"/>
      <c r="D62" s="16"/>
      <c r="E62" s="46"/>
      <c r="F62" s="47"/>
      <c r="G62" s="17"/>
      <c r="H62" s="22"/>
      <c r="I62" s="145"/>
      <c r="J62" s="41"/>
      <c r="K62" s="12"/>
      <c r="L62" s="12"/>
      <c r="M62" s="45"/>
      <c r="N62" s="42"/>
      <c r="O62" s="43"/>
      <c r="P62" s="4"/>
      <c r="Q62"/>
      <c r="R62"/>
      <c r="S62"/>
      <c r="T62"/>
      <c r="U62"/>
      <c r="V62"/>
    </row>
    <row r="63" spans="1:22" s="18" customFormat="1" ht="15.75" customHeight="1">
      <c r="A63" s="37"/>
      <c r="B63" s="34"/>
      <c r="C63" s="36"/>
      <c r="D63" s="16"/>
      <c r="E63" s="168"/>
      <c r="F63" s="169"/>
      <c r="G63" s="17"/>
      <c r="H63" s="22"/>
      <c r="I63" s="145"/>
      <c r="J63" s="41"/>
      <c r="K63" s="12"/>
      <c r="L63" s="12"/>
      <c r="M63" s="45"/>
      <c r="N63" s="42"/>
      <c r="O63" s="43"/>
      <c r="P63" s="4"/>
      <c r="Q63"/>
      <c r="R63"/>
      <c r="S63"/>
      <c r="T63"/>
      <c r="U63"/>
      <c r="V63"/>
    </row>
    <row r="64" spans="1:22" s="18" customFormat="1" ht="15.75" customHeight="1">
      <c r="A64" s="38" t="s">
        <v>64</v>
      </c>
      <c r="B64" s="39"/>
      <c r="C64" s="40"/>
      <c r="D64" s="9"/>
      <c r="E64" s="168"/>
      <c r="F64" s="169"/>
      <c r="G64" s="17"/>
      <c r="H64" s="25"/>
      <c r="I64" s="24"/>
      <c r="J64" s="51"/>
      <c r="K64" s="3"/>
      <c r="L64" s="3"/>
      <c r="M64" s="49"/>
      <c r="N64" s="242"/>
      <c r="O64" s="243"/>
      <c r="P64" s="4"/>
      <c r="Q64"/>
      <c r="R64"/>
      <c r="S64"/>
      <c r="T64"/>
      <c r="U64"/>
      <c r="V64"/>
    </row>
    <row r="65" spans="5:22" s="18" customFormat="1" ht="15.75" customHeight="1">
      <c r="E65" s="170"/>
      <c r="F65" s="146"/>
      <c r="G65" s="214"/>
      <c r="H65" s="214"/>
      <c r="I65" s="26"/>
      <c r="J65"/>
      <c r="K65"/>
      <c r="L65"/>
      <c r="M65"/>
      <c r="N65" s="226"/>
      <c r="O65" s="226"/>
      <c r="P65"/>
      <c r="Q65"/>
      <c r="R65"/>
      <c r="S65"/>
      <c r="T65"/>
      <c r="U65"/>
      <c r="V65"/>
    </row>
    <row r="66" spans="5:22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5:22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5:22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5:22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5:22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5:22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5:22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5:22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5:22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5:22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5:22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5:22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5:22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5:22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5:22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5:22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5:22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5:22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5:22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5:22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5:22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5:22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5:22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5:22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5:22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5:22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5:22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5:22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5:22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5:22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5:22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5:22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5:22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5:22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5:22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5:22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5:22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5:22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5:22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5:22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5:22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5:22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5:22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5:22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5:22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5:22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5:22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5:22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5:22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5:22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5:22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5:22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5:22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5:22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5:22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5:22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5:22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5:22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5:22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5:22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5:22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5:22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5:22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5:22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5:22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5:22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5:22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5:22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5:22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5:22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5:22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5:22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5:22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5:22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5:22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5:22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5:22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5:22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5:22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5:22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5:22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5:22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5:22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5:22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spans="5:22" s="18" customFormat="1" ht="15.75" customHeight="1">
      <c r="E150" s="21"/>
      <c r="F150" s="44"/>
      <c r="G150" s="27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spans="5:22" s="18" customFormat="1" ht="15.75" customHeight="1">
      <c r="E151" s="21"/>
      <c r="F151" s="44"/>
      <c r="G151" s="27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5:22" s="18" customFormat="1" ht="15.75" customHeight="1">
      <c r="E152" s="21"/>
      <c r="F152" s="44"/>
      <c r="G152" s="27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spans="5:22" s="18" customFormat="1" ht="15.75" customHeight="1">
      <c r="E153" s="21"/>
      <c r="F153" s="44"/>
      <c r="G153" s="27"/>
      <c r="J153"/>
      <c r="K153"/>
      <c r="L153"/>
      <c r="M153"/>
      <c r="N153"/>
      <c r="O153"/>
      <c r="P153"/>
      <c r="Q153"/>
      <c r="R153"/>
      <c r="S153"/>
      <c r="T153"/>
      <c r="U153"/>
      <c r="V153"/>
    </row>
    <row r="154" spans="5:22" s="18" customFormat="1" ht="15.75" customHeight="1">
      <c r="E154" s="21"/>
      <c r="F154" s="44"/>
      <c r="G154" s="27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 spans="5:22" s="18" customFormat="1" ht="15.75" customHeight="1">
      <c r="E155" s="21"/>
      <c r="F155" s="44"/>
      <c r="G155" s="27"/>
      <c r="J155"/>
      <c r="K155"/>
      <c r="L155"/>
      <c r="M155"/>
      <c r="N155"/>
      <c r="O155"/>
      <c r="P155"/>
      <c r="Q155"/>
      <c r="R155"/>
      <c r="S155"/>
      <c r="T155"/>
      <c r="U155"/>
      <c r="V155"/>
    </row>
    <row r="156" spans="5:22" s="18" customFormat="1" ht="15.75" customHeight="1">
      <c r="E156" s="21"/>
      <c r="F156" s="44"/>
      <c r="G156" s="27"/>
      <c r="J156"/>
      <c r="K156"/>
      <c r="L156"/>
      <c r="M156"/>
      <c r="N156"/>
      <c r="O156"/>
      <c r="P156"/>
      <c r="Q156"/>
      <c r="R156"/>
      <c r="S156"/>
      <c r="T156"/>
      <c r="U156"/>
      <c r="V156"/>
    </row>
    <row r="157" spans="5:22" s="18" customFormat="1" ht="15.75" customHeight="1">
      <c r="E157" s="21"/>
      <c r="F157" s="44"/>
      <c r="G157" s="27"/>
      <c r="J157"/>
      <c r="K157"/>
      <c r="L157"/>
      <c r="M157"/>
      <c r="N157"/>
      <c r="O157"/>
      <c r="P157"/>
      <c r="Q157"/>
      <c r="R157"/>
      <c r="S157"/>
      <c r="T157"/>
      <c r="U157"/>
      <c r="V157"/>
    </row>
    <row r="158" spans="5:22" s="18" customFormat="1" ht="15.75" customHeight="1">
      <c r="E158" s="21"/>
      <c r="F158" s="44"/>
      <c r="G158" s="27"/>
      <c r="J158"/>
      <c r="K158"/>
      <c r="L158"/>
      <c r="M158"/>
      <c r="N158"/>
      <c r="O158"/>
      <c r="P158"/>
      <c r="Q158"/>
      <c r="R158"/>
      <c r="S158"/>
      <c r="T158"/>
      <c r="U158"/>
      <c r="V158"/>
    </row>
    <row r="159" spans="5:22" s="18" customFormat="1" ht="15.75" customHeight="1">
      <c r="E159" s="21"/>
      <c r="F159" s="44"/>
      <c r="G159" s="27"/>
      <c r="J159"/>
      <c r="K159"/>
      <c r="L159"/>
      <c r="M159"/>
      <c r="N159"/>
      <c r="O159"/>
      <c r="P159"/>
      <c r="Q159"/>
      <c r="R159"/>
      <c r="S159"/>
      <c r="T159"/>
      <c r="U159"/>
      <c r="V159"/>
    </row>
    <row r="160" spans="5:22" s="18" customFormat="1" ht="15.75" customHeight="1">
      <c r="E160" s="21"/>
      <c r="F160" s="44"/>
      <c r="G160" s="27"/>
      <c r="J160"/>
      <c r="K160"/>
      <c r="L160"/>
      <c r="M160"/>
      <c r="N160"/>
      <c r="O160"/>
      <c r="P160"/>
      <c r="Q160"/>
      <c r="R160"/>
      <c r="S160"/>
      <c r="T160"/>
      <c r="U160"/>
      <c r="V160"/>
    </row>
    <row r="161" spans="5:22" s="18" customFormat="1" ht="15.75" customHeight="1">
      <c r="E161" s="21"/>
      <c r="F161" s="44"/>
      <c r="G161" s="27"/>
      <c r="J161"/>
      <c r="K161"/>
      <c r="L161"/>
      <c r="M161"/>
      <c r="N161"/>
      <c r="O161"/>
      <c r="P161"/>
      <c r="Q161"/>
      <c r="R161"/>
      <c r="S161"/>
      <c r="T161"/>
      <c r="U161"/>
      <c r="V161"/>
    </row>
    <row r="162" spans="5:22" s="18" customFormat="1" ht="15.75" customHeight="1">
      <c r="E162" s="21"/>
      <c r="F162" s="44"/>
      <c r="G162" s="27"/>
      <c r="J162"/>
      <c r="K162"/>
      <c r="L162"/>
      <c r="M162"/>
      <c r="N162"/>
      <c r="O162"/>
      <c r="P162"/>
      <c r="Q162"/>
      <c r="R162"/>
      <c r="S162"/>
      <c r="T162"/>
      <c r="U162"/>
      <c r="V162"/>
    </row>
    <row r="163" spans="5:22" s="18" customFormat="1" ht="15.75" customHeight="1">
      <c r="E163" s="21"/>
      <c r="F163" s="44"/>
      <c r="G163" s="27"/>
      <c r="J163"/>
      <c r="K163"/>
      <c r="L163"/>
      <c r="M163"/>
      <c r="N163"/>
      <c r="O163"/>
      <c r="P163"/>
      <c r="Q163"/>
      <c r="R163"/>
      <c r="S163"/>
      <c r="T163"/>
      <c r="U163"/>
      <c r="V163"/>
    </row>
    <row r="164" spans="5:22" s="18" customFormat="1" ht="15.75" customHeight="1">
      <c r="E164" s="21"/>
      <c r="F164" s="44"/>
      <c r="G164" s="27"/>
      <c r="J164"/>
      <c r="K164"/>
      <c r="L164"/>
      <c r="M164"/>
      <c r="N164"/>
      <c r="O164"/>
      <c r="P164"/>
      <c r="Q164"/>
      <c r="R164"/>
      <c r="S164"/>
      <c r="T164"/>
      <c r="U164"/>
      <c r="V164"/>
    </row>
    <row r="165" spans="5:22" s="18" customFormat="1" ht="15.75" customHeight="1">
      <c r="E165" s="21"/>
      <c r="F165" s="44"/>
      <c r="G165" s="27"/>
      <c r="J165"/>
      <c r="K165"/>
      <c r="L165"/>
      <c r="M165"/>
      <c r="N165"/>
      <c r="O165"/>
      <c r="P165"/>
      <c r="Q165"/>
      <c r="R165"/>
      <c r="S165"/>
      <c r="T165"/>
      <c r="U165"/>
      <c r="V165"/>
    </row>
    <row r="166" spans="5:22" s="18" customFormat="1" ht="15.75" customHeight="1">
      <c r="E166" s="21"/>
      <c r="F166" s="44"/>
      <c r="G166" s="27"/>
      <c r="J166"/>
      <c r="K166"/>
      <c r="L166"/>
      <c r="M166"/>
      <c r="N166"/>
      <c r="O166"/>
      <c r="P166"/>
      <c r="Q166"/>
      <c r="R166"/>
      <c r="S166"/>
      <c r="T166"/>
      <c r="U166"/>
      <c r="V166"/>
    </row>
    <row r="167" spans="5:22" s="18" customFormat="1" ht="15.75" customHeight="1">
      <c r="E167" s="21"/>
      <c r="F167" s="44"/>
      <c r="G167" s="27"/>
      <c r="J167"/>
      <c r="K167"/>
      <c r="L167"/>
      <c r="M167"/>
      <c r="N167"/>
      <c r="O167"/>
      <c r="P167"/>
      <c r="Q167"/>
      <c r="R167"/>
      <c r="S167"/>
      <c r="T167"/>
      <c r="U167"/>
      <c r="V167"/>
    </row>
    <row r="168" spans="5:22" s="18" customFormat="1" ht="15.75" customHeight="1">
      <c r="E168" s="21"/>
      <c r="F168" s="44"/>
      <c r="G168" s="27"/>
      <c r="J168"/>
      <c r="K168"/>
      <c r="L168"/>
      <c r="M168"/>
      <c r="N168"/>
      <c r="O168"/>
      <c r="P168"/>
      <c r="Q168"/>
      <c r="R168"/>
      <c r="S168"/>
      <c r="T168"/>
      <c r="U168"/>
      <c r="V168"/>
    </row>
    <row r="169" spans="5:22" s="18" customFormat="1" ht="15.75" customHeight="1">
      <c r="E169" s="21"/>
      <c r="F169" s="44"/>
      <c r="G169" s="27"/>
      <c r="J169"/>
      <c r="K169"/>
      <c r="L169"/>
      <c r="M169"/>
      <c r="N169"/>
      <c r="O169"/>
      <c r="P169"/>
      <c r="Q169"/>
      <c r="R169"/>
      <c r="S169"/>
      <c r="T169"/>
      <c r="U169"/>
      <c r="V169"/>
    </row>
    <row r="170" spans="5:22" s="18" customFormat="1" ht="15.75" customHeight="1">
      <c r="E170" s="21"/>
      <c r="F170" s="44"/>
      <c r="G170" s="27"/>
      <c r="J170"/>
      <c r="K170"/>
      <c r="L170"/>
      <c r="M170"/>
      <c r="N170"/>
      <c r="O170"/>
      <c r="P170"/>
      <c r="Q170"/>
      <c r="R170"/>
      <c r="S170"/>
      <c r="T170"/>
      <c r="U170"/>
      <c r="V170"/>
    </row>
  </sheetData>
  <autoFilter ref="A8:P42" xr:uid="{00000000-0009-0000-0000-000000000000}"/>
  <mergeCells count="93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R2:R5"/>
    <mergeCell ref="C3:C5"/>
    <mergeCell ref="D3:D5"/>
    <mergeCell ref="F3:G3"/>
    <mergeCell ref="F4:G4"/>
    <mergeCell ref="F5:G5"/>
    <mergeCell ref="B7:D7"/>
    <mergeCell ref="E7:I7"/>
    <mergeCell ref="J7:L7"/>
    <mergeCell ref="N7:P7"/>
    <mergeCell ref="E8:F8"/>
    <mergeCell ref="N8:O8"/>
    <mergeCell ref="E9:F9"/>
    <mergeCell ref="N9:O9"/>
    <mergeCell ref="E10:F10"/>
    <mergeCell ref="N10:O10"/>
    <mergeCell ref="E11:F11"/>
    <mergeCell ref="N11:O11"/>
    <mergeCell ref="E19:F19"/>
    <mergeCell ref="N19:O19"/>
    <mergeCell ref="E12:F12"/>
    <mergeCell ref="N12:O12"/>
    <mergeCell ref="E13:F13"/>
    <mergeCell ref="N13:O13"/>
    <mergeCell ref="E14:F14"/>
    <mergeCell ref="E15:F15"/>
    <mergeCell ref="N15:O15"/>
    <mergeCell ref="E16:F16"/>
    <mergeCell ref="E17:F17"/>
    <mergeCell ref="N17:O17"/>
    <mergeCell ref="E18:F18"/>
    <mergeCell ref="N18:O18"/>
    <mergeCell ref="E29:F29"/>
    <mergeCell ref="E20:F20"/>
    <mergeCell ref="N20:O20"/>
    <mergeCell ref="E21:F21"/>
    <mergeCell ref="N21:O21"/>
    <mergeCell ref="E22:F22"/>
    <mergeCell ref="E23:F23"/>
    <mergeCell ref="E24:F24"/>
    <mergeCell ref="E25:F25"/>
    <mergeCell ref="E26:F26"/>
    <mergeCell ref="E27:F27"/>
    <mergeCell ref="E28:F28"/>
    <mergeCell ref="N40:O40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N65:O65"/>
    <mergeCell ref="E41:F41"/>
    <mergeCell ref="N41:O41"/>
    <mergeCell ref="E64:F64"/>
    <mergeCell ref="N64:O64"/>
    <mergeCell ref="E45:F45"/>
    <mergeCell ref="E44:F44"/>
    <mergeCell ref="E46:F46"/>
    <mergeCell ref="E47:F47"/>
    <mergeCell ref="E54:F54"/>
    <mergeCell ref="E57:F57"/>
    <mergeCell ref="E63:F63"/>
    <mergeCell ref="E48:F48"/>
    <mergeCell ref="E49:F49"/>
    <mergeCell ref="E51:F51"/>
    <mergeCell ref="E52:F52"/>
    <mergeCell ref="E42:F42"/>
    <mergeCell ref="E43:F43"/>
    <mergeCell ref="E50:F50"/>
    <mergeCell ref="E65:F65"/>
    <mergeCell ref="G65:H65"/>
    <mergeCell ref="E53:F53"/>
    <mergeCell ref="E55:F55"/>
    <mergeCell ref="E56:F56"/>
    <mergeCell ref="E58:F58"/>
    <mergeCell ref="E59:F59"/>
  </mergeCells>
  <conditionalFormatting sqref="A42:A64">
    <cfRule type="expression" dxfId="135" priority="1">
      <formula>M42 = "On Hold"</formula>
    </cfRule>
  </conditionalFormatting>
  <conditionalFormatting sqref="B2:B5 J9:P64">
    <cfRule type="cellIs" dxfId="134" priority="2" operator="equal">
      <formula>"Done"</formula>
    </cfRule>
    <cfRule type="cellIs" dxfId="133" priority="3" operator="equal">
      <formula>"On Hold"</formula>
    </cfRule>
    <cfRule type="cellIs" dxfId="132" priority="4" operator="equal">
      <formula>"Ready for Review"</formula>
    </cfRule>
    <cfRule type="cellIs" dxfId="131" priority="5" operator="equal">
      <formula>"In Review"</formula>
    </cfRule>
  </conditionalFormatting>
  <dataValidations count="7">
    <dataValidation type="list" allowBlank="1" sqref="B3 M9:M64" xr:uid="{437FF55E-914A-4BC5-84BE-B66F3DED8EB6}">
      <formula1>Statuses</formula1>
    </dataValidation>
    <dataValidation type="list" allowBlank="1" sqref="B4:B5" xr:uid="{CBA96665-662C-47A6-8D62-D4088C911B67}">
      <formula1>ETL_Statuses</formula1>
    </dataValidation>
    <dataValidation type="list" allowBlank="1" showErrorMessage="1" sqref="B2" xr:uid="{2F0EE8E0-C810-4102-BDC4-AA6D6FA5F0D0}">
      <formula1>STT_Statuses</formula1>
    </dataValidation>
    <dataValidation type="list" allowBlank="1" sqref="P9:P42" xr:uid="{9F1DF9CB-F859-4D8A-8180-5B78449BC8AB}">
      <formula1>Versions</formula1>
    </dataValidation>
    <dataValidation type="list" allowBlank="1" sqref="B42:B64" xr:uid="{11939037-98C2-4B56-9538-C1881F94D158}">
      <formula1>Data_Types</formula1>
    </dataValidation>
    <dataValidation type="list" allowBlank="1" sqref="E9:E64" xr:uid="{AC477D2D-C7F5-4086-81E6-D1AD96C8B4F3}">
      <formula1>Sources</formula1>
    </dataValidation>
    <dataValidation type="list" allowBlank="1" sqref="N9:N64" xr:uid="{8986394F-B337-445D-85DF-7031F92E4768}">
      <formula1>Categories</formula1>
    </dataValidation>
  </dataValidations>
  <hyperlinks>
    <hyperlink ref="D3:D5" r:id="rId1" display="נתוני הלמ&quot;ס" xr:uid="{80D01896-17C5-4027-856C-44A15739B2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44DE-5700-4719-B05C-806A71D84E78}">
  <sheetPr>
    <tabColor rgb="FFFFC000"/>
    <outlinePr summaryBelow="0" summaryRight="0"/>
  </sheetPr>
  <dimension ref="A1:V172"/>
  <sheetViews>
    <sheetView zoomScaleNormal="100" workbookViewId="0">
      <pane xSplit="1" ySplit="8" topLeftCell="B9" activePane="bottomRight" state="frozen"/>
      <selection pane="bottomRight" activeCell="H15" sqref="H15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35.7109375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215" t="s">
        <v>243</v>
      </c>
      <c r="E3" s="148"/>
      <c r="F3" s="150" t="s">
        <v>244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216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217"/>
      <c r="E5" s="148"/>
      <c r="F5" s="150" t="s">
        <v>245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/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87</v>
      </c>
      <c r="B9" s="34" t="s">
        <v>78</v>
      </c>
      <c r="C9" s="36"/>
      <c r="D9" s="70" t="s">
        <v>246</v>
      </c>
      <c r="E9" s="168" t="s">
        <v>247</v>
      </c>
      <c r="F9" s="169"/>
      <c r="G9" s="17" t="s">
        <v>248</v>
      </c>
      <c r="H9" s="68" t="s">
        <v>246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"שם  הרשות": "authority_name",</v>
      </c>
      <c r="R9" s="14" t="str">
        <f>CONCATENATE($Q$2,A9,$R$2,B9,$Q$2,",")</f>
        <v>"authority_name": "string",</v>
      </c>
    </row>
    <row r="10" spans="1:18" ht="15.75" customHeight="1" outlineLevel="1">
      <c r="A10" s="37" t="s">
        <v>249</v>
      </c>
      <c r="B10" s="34" t="s">
        <v>78</v>
      </c>
      <c r="C10" s="36"/>
      <c r="D10" s="71" t="s">
        <v>250</v>
      </c>
      <c r="E10" s="168" t="s">
        <v>247</v>
      </c>
      <c r="F10" s="169"/>
      <c r="G10" s="17" t="s">
        <v>248</v>
      </c>
      <c r="H10" s="68" t="s">
        <v>250</v>
      </c>
      <c r="I10" s="17"/>
      <c r="J10" s="41"/>
      <c r="K10" s="12"/>
      <c r="L10" s="12"/>
      <c r="M10" s="49"/>
      <c r="N10" s="240"/>
      <c r="O10" s="241"/>
      <c r="P10" s="13"/>
      <c r="Q10" s="14" t="str">
        <f t="shared" ref="Q10:Q40" si="0">CONCATENATE($Q$2,H10,$R$2,A10,$Q$2,",")</f>
        <v>"סמל הרשות": "authority_id",</v>
      </c>
      <c r="R10" s="14" t="str">
        <f t="shared" ref="R10:R43" si="1">CONCATENATE($Q$2,A10,$R$2,B10,$Q$2,",")</f>
        <v>"authority_id": "string",</v>
      </c>
    </row>
    <row r="11" spans="1:18" ht="15.75" customHeight="1" outlineLevel="1">
      <c r="A11" s="37" t="s">
        <v>251</v>
      </c>
      <c r="B11" s="34" t="s">
        <v>78</v>
      </c>
      <c r="C11" s="36"/>
      <c r="D11" s="71" t="s">
        <v>79</v>
      </c>
      <c r="E11" s="168" t="s">
        <v>247</v>
      </c>
      <c r="F11" s="169"/>
      <c r="G11" s="17" t="s">
        <v>248</v>
      </c>
      <c r="H11" s="68" t="s">
        <v>79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"מחוז": "lamas_district",</v>
      </c>
      <c r="R11" s="14" t="str">
        <f t="shared" si="1"/>
        <v>"lamas_district": "string",</v>
      </c>
    </row>
    <row r="12" spans="1:18" ht="15.75" customHeight="1" outlineLevel="1">
      <c r="A12" s="37" t="s">
        <v>252</v>
      </c>
      <c r="B12" s="34" t="s">
        <v>78</v>
      </c>
      <c r="C12" s="36"/>
      <c r="D12" s="71" t="s">
        <v>253</v>
      </c>
      <c r="E12" s="168" t="s">
        <v>247</v>
      </c>
      <c r="F12" s="169"/>
      <c r="G12" s="17" t="s">
        <v>248</v>
      </c>
      <c r="H12" s="68" t="s">
        <v>253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"מעמד מוניציפלי": "municipal_status",</v>
      </c>
      <c r="R12" s="14" t="str">
        <f t="shared" si="1"/>
        <v>"municipal_status": "string",</v>
      </c>
    </row>
    <row r="13" spans="1:18" ht="15.75" customHeight="1" outlineLevel="1">
      <c r="A13" s="37" t="s">
        <v>254</v>
      </c>
      <c r="B13" s="34" t="s">
        <v>255</v>
      </c>
      <c r="C13" s="36"/>
      <c r="D13" s="71" t="s">
        <v>256</v>
      </c>
      <c r="E13" s="168" t="s">
        <v>247</v>
      </c>
      <c r="F13" s="169"/>
      <c r="G13" s="17" t="s">
        <v>248</v>
      </c>
      <c r="H13" s="68" t="s">
        <v>256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"מרחק מגבול מחוז תל אביב (ק"מ)": "distance_from_tel_aviv_km",</v>
      </c>
      <c r="R13" s="14" t="str">
        <f t="shared" si="1"/>
        <v>"distance_from_tel_aviv_km": "float",</v>
      </c>
    </row>
    <row r="14" spans="1:18" ht="15.75" customHeight="1" outlineLevel="1">
      <c r="A14" s="37" t="s">
        <v>257</v>
      </c>
      <c r="B14" s="34" t="s">
        <v>111</v>
      </c>
      <c r="C14" s="36"/>
      <c r="D14" s="71" t="s">
        <v>258</v>
      </c>
      <c r="E14" s="168" t="s">
        <v>247</v>
      </c>
      <c r="F14" s="169"/>
      <c r="G14" s="17" t="s">
        <v>248</v>
      </c>
      <c r="H14" s="68" t="s">
        <v>258</v>
      </c>
      <c r="I14" s="23"/>
      <c r="J14" s="41"/>
      <c r="K14" s="12"/>
      <c r="L14" s="12"/>
      <c r="M14" s="49"/>
      <c r="N14" s="42"/>
      <c r="O14" s="43"/>
      <c r="P14" s="13"/>
      <c r="Q14" s="14" t="str">
        <f t="shared" si="0"/>
        <v>"שנת קבלת מעמד מוניציפלי": "municipal_status_year",</v>
      </c>
      <c r="R14" s="14" t="str">
        <f t="shared" si="1"/>
        <v>"municipal_status_year": "Int64",</v>
      </c>
    </row>
    <row r="15" spans="1:18" ht="15.75" customHeight="1" outlineLevel="1">
      <c r="A15" s="37" t="s">
        <v>259</v>
      </c>
      <c r="B15" s="34" t="s">
        <v>111</v>
      </c>
      <c r="C15" s="36"/>
      <c r="D15" s="71" t="s">
        <v>260</v>
      </c>
      <c r="E15" s="168" t="s">
        <v>247</v>
      </c>
      <c r="F15" s="169"/>
      <c r="G15" s="17" t="s">
        <v>248</v>
      </c>
      <c r="H15" s="68" t="s">
        <v>260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"מרחב ימי, רשויות מקומיות הגובלות בחוף הים": "coastal_border",</v>
      </c>
      <c r="R15" s="14" t="str">
        <f t="shared" si="1"/>
        <v>"coastal_border": "Int64",</v>
      </c>
    </row>
    <row r="16" spans="1:18" ht="15.75" customHeight="1" outlineLevel="1">
      <c r="A16" s="37" t="s">
        <v>261</v>
      </c>
      <c r="B16" s="34" t="s">
        <v>111</v>
      </c>
      <c r="C16" s="36"/>
      <c r="D16" s="71" t="s">
        <v>262</v>
      </c>
      <c r="E16" s="168" t="s">
        <v>247</v>
      </c>
      <c r="F16" s="169"/>
      <c r="G16" s="17" t="s">
        <v>248</v>
      </c>
      <c r="H16" s="68" t="s">
        <v>262</v>
      </c>
      <c r="I16" s="23"/>
      <c r="J16" s="41"/>
      <c r="K16" s="12"/>
      <c r="L16" s="12"/>
      <c r="M16" s="49"/>
      <c r="N16" s="42"/>
      <c r="O16" s="43"/>
      <c r="P16" s="13"/>
      <c r="Q16" s="14" t="str">
        <f t="shared" si="0"/>
        <v>"מספר חברי מועצה": "council_members_count",</v>
      </c>
      <c r="R16" s="14" t="str">
        <f t="shared" si="1"/>
        <v>"council_members_count": "Int64",</v>
      </c>
    </row>
    <row r="17" spans="1:18" ht="15.75" customHeight="1" outlineLevel="1">
      <c r="A17" s="37" t="s">
        <v>263</v>
      </c>
      <c r="B17" s="34" t="s">
        <v>78</v>
      </c>
      <c r="C17" s="36"/>
      <c r="D17" s="71" t="s">
        <v>264</v>
      </c>
      <c r="E17" s="168" t="s">
        <v>247</v>
      </c>
      <c r="F17" s="169"/>
      <c r="G17" s="17" t="s">
        <v>248</v>
      </c>
      <c r="H17" s="68" t="s">
        <v>264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"סמל ועדת תכנון ובנייה": "planning_committee_id",</v>
      </c>
      <c r="R17" s="14" t="str">
        <f t="shared" si="1"/>
        <v>"planning_committee_id": "string",</v>
      </c>
    </row>
    <row r="18" spans="1:18" ht="15.75" customHeight="1" outlineLevel="1">
      <c r="A18" s="37" t="s">
        <v>265</v>
      </c>
      <c r="B18" s="34" t="s">
        <v>78</v>
      </c>
      <c r="C18" s="36"/>
      <c r="D18" s="71" t="s">
        <v>266</v>
      </c>
      <c r="E18" s="168" t="s">
        <v>247</v>
      </c>
      <c r="F18" s="169"/>
      <c r="G18" s="17" t="s">
        <v>248</v>
      </c>
      <c r="H18" s="68" t="s">
        <v>266</v>
      </c>
      <c r="I18" s="23"/>
      <c r="J18" s="41"/>
      <c r="K18" s="12"/>
      <c r="L18" s="12"/>
      <c r="M18" s="49"/>
      <c r="N18" s="240"/>
      <c r="O18" s="241"/>
      <c r="P18" s="13"/>
      <c r="Q18" s="14" t="str">
        <f t="shared" si="0"/>
        <v>"שם ועדת תכנון ובנייה": "planning_committee_name",</v>
      </c>
      <c r="R18" s="14" t="str">
        <f t="shared" si="1"/>
        <v>"planning_committee_name": "string",</v>
      </c>
    </row>
    <row r="19" spans="1:18" ht="15.75" customHeight="1" outlineLevel="1">
      <c r="A19" s="37" t="s">
        <v>267</v>
      </c>
      <c r="B19" s="34" t="s">
        <v>255</v>
      </c>
      <c r="C19" s="36"/>
      <c r="D19" s="71" t="s">
        <v>268</v>
      </c>
      <c r="E19" s="168" t="s">
        <v>247</v>
      </c>
      <c r="F19" s="169"/>
      <c r="G19" s="17" t="s">
        <v>248</v>
      </c>
      <c r="H19" s="68" t="s">
        <v>268</v>
      </c>
      <c r="I19" s="23"/>
      <c r="J19" s="41"/>
      <c r="K19" s="12"/>
      <c r="L19" s="12"/>
      <c r="M19" s="49"/>
      <c r="N19" s="240"/>
      <c r="O19" s="241"/>
      <c r="P19" s="13"/>
      <c r="Q19" s="14" t="str">
        <f t="shared" si="0"/>
        <v>"שטח (קמ"ר)": "area_km2",</v>
      </c>
      <c r="R19" s="14" t="str">
        <f t="shared" si="1"/>
        <v>"area_km2": "float",</v>
      </c>
    </row>
    <row r="20" spans="1:18" ht="15.75" customHeight="1" outlineLevel="1">
      <c r="A20" s="37" t="s">
        <v>269</v>
      </c>
      <c r="B20" s="34" t="s">
        <v>111</v>
      </c>
      <c r="C20" s="36"/>
      <c r="D20" s="71" t="s">
        <v>270</v>
      </c>
      <c r="E20" s="168" t="s">
        <v>247</v>
      </c>
      <c r="F20" s="169"/>
      <c r="G20" s="17" t="s">
        <v>248</v>
      </c>
      <c r="H20" s="68" t="s">
        <v>270</v>
      </c>
      <c r="I20" s="23"/>
      <c r="J20" s="41"/>
      <c r="K20" s="12"/>
      <c r="L20" s="12"/>
      <c r="M20" s="49"/>
      <c r="N20" s="240"/>
      <c r="O20" s="241"/>
      <c r="P20" s="13"/>
      <c r="Q20" s="14" t="str">
        <f t="shared" si="0"/>
        <v>"סה"כ אוכלוסייה בסוף השנה": "total_population",</v>
      </c>
      <c r="R20" s="14" t="str">
        <f t="shared" si="1"/>
        <v>"total_population": "Int64",</v>
      </c>
    </row>
    <row r="21" spans="1:18" ht="15.75" customHeight="1" outlineLevel="1">
      <c r="A21" s="37" t="s">
        <v>271</v>
      </c>
      <c r="B21" s="34" t="s">
        <v>111</v>
      </c>
      <c r="C21" s="36"/>
      <c r="D21" s="71" t="s">
        <v>272</v>
      </c>
      <c r="E21" s="168" t="s">
        <v>247</v>
      </c>
      <c r="F21" s="169"/>
      <c r="G21" s="17" t="s">
        <v>248</v>
      </c>
      <c r="H21" s="68" t="s">
        <v>272</v>
      </c>
      <c r="I21" s="23"/>
      <c r="J21" s="41"/>
      <c r="K21" s="12"/>
      <c r="L21" s="12"/>
      <c r="M21" s="49"/>
      <c r="N21" s="240"/>
      <c r="O21" s="241"/>
      <c r="P21" s="13"/>
      <c r="Q21" s="14" t="str">
        <f t="shared" si="0"/>
        <v>"סך כל הישראלים": "total_israelis",</v>
      </c>
      <c r="R21" s="14" t="str">
        <f t="shared" si="1"/>
        <v>"total_israelis": "Int64",</v>
      </c>
    </row>
    <row r="22" spans="1:18" ht="15.75" customHeight="1" outlineLevel="1">
      <c r="A22" s="37" t="s">
        <v>273</v>
      </c>
      <c r="B22" s="34" t="s">
        <v>255</v>
      </c>
      <c r="C22" s="36"/>
      <c r="D22" s="71" t="s">
        <v>274</v>
      </c>
      <c r="E22" s="168" t="s">
        <v>247</v>
      </c>
      <c r="F22" s="169"/>
      <c r="G22" s="17" t="s">
        <v>248</v>
      </c>
      <c r="H22" s="68" t="s">
        <v>274</v>
      </c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"יהודים ואחרים (אחוזים מתוך כלל אוכלוסיית הישראלים)": "jews_others_pct",</v>
      </c>
      <c r="R22" s="14" t="str">
        <f t="shared" si="1"/>
        <v>"jews_others_pct": "float",</v>
      </c>
    </row>
    <row r="23" spans="1:18" ht="15.75" customHeight="1" outlineLevel="1">
      <c r="A23" s="37" t="s">
        <v>275</v>
      </c>
      <c r="B23" s="34" t="s">
        <v>255</v>
      </c>
      <c r="C23" s="36"/>
      <c r="D23" s="71" t="s">
        <v>276</v>
      </c>
      <c r="E23" s="168" t="s">
        <v>247</v>
      </c>
      <c r="F23" s="169"/>
      <c r="G23" s="17" t="s">
        <v>248</v>
      </c>
      <c r="H23" s="68" t="s">
        <v>276</v>
      </c>
      <c r="I23" s="23"/>
      <c r="J23" s="41"/>
      <c r="K23" s="12"/>
      <c r="L23" s="12"/>
      <c r="M23" s="49"/>
      <c r="N23" s="42"/>
      <c r="O23" s="43"/>
      <c r="P23" s="13"/>
      <c r="Q23" s="14" t="str">
        <f t="shared" si="0"/>
        <v>"יהודים (אחוזים מתוך יהודים ואחרים)": "jews_pct",</v>
      </c>
      <c r="R23" s="14" t="str">
        <f t="shared" si="1"/>
        <v>"jews_pct": "float",</v>
      </c>
    </row>
    <row r="24" spans="1:18" ht="15.75" customHeight="1" outlineLevel="1">
      <c r="A24" s="37" t="s">
        <v>277</v>
      </c>
      <c r="B24" s="34" t="s">
        <v>255</v>
      </c>
      <c r="C24" s="36"/>
      <c r="D24" s="71" t="s">
        <v>278</v>
      </c>
      <c r="E24" s="168" t="s">
        <v>247</v>
      </c>
      <c r="F24" s="169"/>
      <c r="G24" s="17" t="s">
        <v>248</v>
      </c>
      <c r="H24" s="68" t="s">
        <v>278</v>
      </c>
      <c r="I24" s="23"/>
      <c r="J24" s="41"/>
      <c r="K24" s="12"/>
      <c r="L24" s="12"/>
      <c r="M24" s="49"/>
      <c r="N24" s="42"/>
      <c r="O24" s="43"/>
      <c r="P24" s="13"/>
      <c r="Q24" s="14" t="str">
        <f t="shared" si="0"/>
        <v>"ערבים (אחוזים מתוך כלל אוכלוסיית הישראלים)": "arab_pct",</v>
      </c>
      <c r="R24" s="14" t="str">
        <f t="shared" si="1"/>
        <v>"arab_pct": "float",</v>
      </c>
    </row>
    <row r="25" spans="1:18" ht="15.75" customHeight="1" outlineLevel="1">
      <c r="A25" s="37" t="s">
        <v>279</v>
      </c>
      <c r="B25" s="34" t="s">
        <v>255</v>
      </c>
      <c r="C25" s="36"/>
      <c r="D25" s="71" t="s">
        <v>280</v>
      </c>
      <c r="E25" s="168" t="s">
        <v>247</v>
      </c>
      <c r="F25" s="169"/>
      <c r="G25" s="17" t="s">
        <v>248</v>
      </c>
      <c r="H25" s="68" t="s">
        <v>280</v>
      </c>
      <c r="I25" s="23"/>
      <c r="J25" s="41"/>
      <c r="K25" s="12"/>
      <c r="L25" s="12"/>
      <c r="M25" s="49"/>
      <c r="N25" s="42"/>
      <c r="O25" s="43"/>
      <c r="P25" s="13"/>
      <c r="Q25" s="14" t="str">
        <f t="shared" si="0"/>
        <v>"מוסלמים (אחוזים מתוך האוכלוסייה הערבית)": "muslim_pct",</v>
      </c>
      <c r="R25" s="14" t="str">
        <f t="shared" si="1"/>
        <v>"muslim_pct": "float",</v>
      </c>
    </row>
    <row r="26" spans="1:18" ht="15.75" customHeight="1" outlineLevel="1">
      <c r="A26" s="37" t="s">
        <v>281</v>
      </c>
      <c r="B26" s="34" t="s">
        <v>255</v>
      </c>
      <c r="C26" s="36"/>
      <c r="D26" s="71" t="s">
        <v>282</v>
      </c>
      <c r="E26" s="168" t="s">
        <v>247</v>
      </c>
      <c r="F26" s="169"/>
      <c r="G26" s="17" t="s">
        <v>248</v>
      </c>
      <c r="H26" s="68" t="s">
        <v>282</v>
      </c>
      <c r="I26" s="23"/>
      <c r="J26" s="41"/>
      <c r="K26" s="12"/>
      <c r="L26" s="12"/>
      <c r="M26" s="49"/>
      <c r="N26" s="42"/>
      <c r="O26" s="43"/>
      <c r="P26" s="13"/>
      <c r="Q26" s="14" t="str">
        <f t="shared" si="0"/>
        <v>"נוצרים (אחוזים מתוך האוכלוסייה הערבית)": "christian_pct",</v>
      </c>
      <c r="R26" s="14" t="str">
        <f t="shared" si="1"/>
        <v>"christian_pct": "float",</v>
      </c>
    </row>
    <row r="27" spans="1:18" ht="15.75" customHeight="1" outlineLevel="1">
      <c r="A27" s="37" t="s">
        <v>283</v>
      </c>
      <c r="B27" s="34" t="s">
        <v>255</v>
      </c>
      <c r="C27" s="36"/>
      <c r="D27" s="71" t="s">
        <v>284</v>
      </c>
      <c r="E27" s="168" t="s">
        <v>247</v>
      </c>
      <c r="F27" s="169"/>
      <c r="G27" s="17" t="s">
        <v>248</v>
      </c>
      <c r="H27" s="68" t="s">
        <v>284</v>
      </c>
      <c r="I27" s="23"/>
      <c r="J27" s="41"/>
      <c r="K27" s="12"/>
      <c r="L27" s="12"/>
      <c r="M27" s="49"/>
      <c r="N27" s="42"/>
      <c r="O27" s="43"/>
      <c r="P27" s="13"/>
      <c r="Q27" s="14" t="str">
        <f t="shared" si="0"/>
        <v>"דרוזים (אחוזים מתוך האוכלוסייה הערבית)": "druze_pct",</v>
      </c>
      <c r="R27" s="14" t="str">
        <f t="shared" si="1"/>
        <v>"druze_pct": "float",</v>
      </c>
    </row>
    <row r="28" spans="1:18" ht="15.75" customHeight="1" outlineLevel="1">
      <c r="A28" s="37" t="s">
        <v>285</v>
      </c>
      <c r="B28" s="34" t="s">
        <v>111</v>
      </c>
      <c r="C28" s="36"/>
      <c r="D28" s="71" t="s">
        <v>286</v>
      </c>
      <c r="E28" s="168" t="s">
        <v>247</v>
      </c>
      <c r="F28" s="169"/>
      <c r="G28" s="17" t="s">
        <v>248</v>
      </c>
      <c r="H28" s="68" t="s">
        <v>286</v>
      </c>
      <c r="I28" s="23"/>
      <c r="J28" s="41"/>
      <c r="K28" s="12"/>
      <c r="L28" s="12"/>
      <c r="M28" s="49"/>
      <c r="N28" s="42"/>
      <c r="O28" s="43"/>
      <c r="P28" s="13"/>
      <c r="Q28" s="14" t="str">
        <f t="shared" si="0"/>
        <v>"סה"כ גברים בסוף השנה": "total_males",</v>
      </c>
      <c r="R28" s="14" t="str">
        <f t="shared" si="1"/>
        <v>"total_males": "Int64",</v>
      </c>
    </row>
    <row r="29" spans="1:18" ht="15.75" customHeight="1" outlineLevel="1">
      <c r="A29" s="37" t="s">
        <v>287</v>
      </c>
      <c r="B29" s="34" t="s">
        <v>111</v>
      </c>
      <c r="C29" s="36"/>
      <c r="D29" s="71" t="s">
        <v>288</v>
      </c>
      <c r="E29" s="168" t="s">
        <v>247</v>
      </c>
      <c r="F29" s="169"/>
      <c r="G29" s="17" t="s">
        <v>248</v>
      </c>
      <c r="H29" s="68" t="s">
        <v>288</v>
      </c>
      <c r="I29" s="23"/>
      <c r="J29" s="41"/>
      <c r="K29" s="12"/>
      <c r="L29" s="12"/>
      <c r="M29" s="49"/>
      <c r="N29" s="42"/>
      <c r="O29" s="43"/>
      <c r="P29" s="13"/>
      <c r="Q29" s="14" t="str">
        <f t="shared" si="0"/>
        <v>"סה"כ נשים בסוף השנה": "total_females",</v>
      </c>
      <c r="R29" s="14" t="str">
        <f t="shared" si="1"/>
        <v>"total_females": "Int64",</v>
      </c>
    </row>
    <row r="30" spans="1:18" ht="15.75" customHeight="1" outlineLevel="1">
      <c r="A30" s="37" t="s">
        <v>289</v>
      </c>
      <c r="B30" s="34" t="s">
        <v>255</v>
      </c>
      <c r="C30" s="36"/>
      <c r="D30" s="71" t="s">
        <v>290</v>
      </c>
      <c r="E30" s="168" t="s">
        <v>247</v>
      </c>
      <c r="F30" s="169"/>
      <c r="G30" s="17" t="s">
        <v>248</v>
      </c>
      <c r="H30" s="68" t="s">
        <v>290</v>
      </c>
      <c r="I30" s="23"/>
      <c r="J30" s="41"/>
      <c r="K30" s="12"/>
      <c r="L30" s="12"/>
      <c r="M30" s="49"/>
      <c r="N30" s="42"/>
      <c r="O30" s="43"/>
      <c r="P30" s="13"/>
      <c r="Q30" s="14" t="str">
        <f t="shared" si="0"/>
        <v>"אחוז גידול האוכלוסייה לעומת השנה הקודמת": "population_growth_pct_yoy",</v>
      </c>
      <c r="R30" s="14" t="str">
        <f t="shared" si="1"/>
        <v>"population_growth_pct_yoy": "float",</v>
      </c>
    </row>
    <row r="31" spans="1:18" ht="15.75" customHeight="1" outlineLevel="1">
      <c r="A31" s="37" t="s">
        <v>291</v>
      </c>
      <c r="B31" s="34" t="s">
        <v>111</v>
      </c>
      <c r="C31" s="36"/>
      <c r="D31" s="71" t="s">
        <v>292</v>
      </c>
      <c r="E31" s="168" t="s">
        <v>247</v>
      </c>
      <c r="F31" s="169"/>
      <c r="G31" s="17" t="s">
        <v>248</v>
      </c>
      <c r="H31" s="68" t="s">
        <v>292</v>
      </c>
      <c r="I31" s="23"/>
      <c r="J31" s="41"/>
      <c r="K31" s="12"/>
      <c r="L31" s="12"/>
      <c r="M31" s="49"/>
      <c r="N31" s="42"/>
      <c r="O31" s="43"/>
      <c r="P31" s="13"/>
      <c r="Q31" s="14" t="str">
        <f t="shared" si="0"/>
        <v>"מדד חברתי-כלכלי אשכול (מ-1 עד 10, 1 הנמוך ביותר)": "socioeconomic_cluster",</v>
      </c>
      <c r="R31" s="14" t="str">
        <f t="shared" si="1"/>
        <v>"socioeconomic_cluster": "Int64",</v>
      </c>
    </row>
    <row r="32" spans="1:18" ht="15.75" customHeight="1" outlineLevel="1">
      <c r="A32" s="37" t="s">
        <v>293</v>
      </c>
      <c r="B32" s="34" t="s">
        <v>255</v>
      </c>
      <c r="C32" s="36"/>
      <c r="D32" s="71" t="s">
        <v>294</v>
      </c>
      <c r="E32" s="168" t="s">
        <v>247</v>
      </c>
      <c r="F32" s="169"/>
      <c r="G32" s="17" t="s">
        <v>248</v>
      </c>
      <c r="H32" s="68" t="s">
        <v>294</v>
      </c>
      <c r="I32" s="23"/>
      <c r="J32" s="41"/>
      <c r="K32" s="12"/>
      <c r="L32" s="12"/>
      <c r="M32" s="49"/>
      <c r="N32" s="42"/>
      <c r="O32" s="43"/>
      <c r="P32" s="13"/>
      <c r="Q32" s="14" t="str">
        <f t="shared" si="0"/>
        <v>"מדד חברתי-כלכלי ערך מדד": "socioeconomic_index_value",</v>
      </c>
      <c r="R32" s="14" t="str">
        <f t="shared" si="1"/>
        <v>"socioeconomic_index_value": "float",</v>
      </c>
    </row>
    <row r="33" spans="1:22" ht="15.75" customHeight="1" outlineLevel="1">
      <c r="A33" s="37" t="s">
        <v>295</v>
      </c>
      <c r="B33" s="34" t="s">
        <v>111</v>
      </c>
      <c r="C33" s="36"/>
      <c r="D33" s="71" t="s">
        <v>296</v>
      </c>
      <c r="E33" s="168" t="s">
        <v>247</v>
      </c>
      <c r="F33" s="169"/>
      <c r="G33" s="17" t="s">
        <v>248</v>
      </c>
      <c r="H33" s="68" t="s">
        <v>296</v>
      </c>
      <c r="I33" s="23"/>
      <c r="J33" s="41"/>
      <c r="K33" s="12"/>
      <c r="L33" s="12"/>
      <c r="M33" s="49"/>
      <c r="N33" s="42"/>
      <c r="O33" s="43"/>
      <c r="P33" s="13"/>
      <c r="Q33" s="14" t="str">
        <f t="shared" si="0"/>
        <v>"מדד חברתי-כלכלי דירוג (מ-1 עד 255, 1 הנמוך ביותר)": "socioeconomic_rank",</v>
      </c>
      <c r="R33" s="14" t="str">
        <f t="shared" si="1"/>
        <v>"socioeconomic_rank": "Int64",</v>
      </c>
    </row>
    <row r="34" spans="1:22" ht="15.75" customHeight="1" outlineLevel="1">
      <c r="A34" s="37" t="s">
        <v>297</v>
      </c>
      <c r="B34" s="34" t="s">
        <v>111</v>
      </c>
      <c r="C34" s="36"/>
      <c r="D34" s="71" t="s">
        <v>298</v>
      </c>
      <c r="E34" s="168" t="s">
        <v>247</v>
      </c>
      <c r="F34" s="169"/>
      <c r="G34" s="17" t="s">
        <v>248</v>
      </c>
      <c r="H34" s="68" t="s">
        <v>298</v>
      </c>
      <c r="I34" s="23"/>
      <c r="J34" s="41"/>
      <c r="K34" s="12"/>
      <c r="L34" s="12"/>
      <c r="M34" s="49"/>
      <c r="N34" s="42"/>
      <c r="O34" s="43"/>
      <c r="P34" s="13"/>
      <c r="Q34" s="14" t="str">
        <f t="shared" si="0"/>
        <v>"אשכול (מ-1 עד 10, 1 הקומפקטי ביותר)": "compactness_cluster",</v>
      </c>
      <c r="R34" s="14" t="str">
        <f t="shared" si="1"/>
        <v>"compactness_cluster": "Int64",</v>
      </c>
    </row>
    <row r="35" spans="1:22" ht="15.75" customHeight="1" outlineLevel="1">
      <c r="A35" s="37" t="s">
        <v>299</v>
      </c>
      <c r="B35" s="34" t="s">
        <v>255</v>
      </c>
      <c r="C35" s="36"/>
      <c r="D35" s="71" t="s">
        <v>300</v>
      </c>
      <c r="E35" s="168" t="s">
        <v>247</v>
      </c>
      <c r="F35" s="169"/>
      <c r="G35" s="17" t="s">
        <v>248</v>
      </c>
      <c r="H35" s="68" t="s">
        <v>300</v>
      </c>
      <c r="I35" s="23"/>
      <c r="J35" s="41"/>
      <c r="K35" s="12"/>
      <c r="L35" s="12"/>
      <c r="M35" s="49"/>
      <c r="N35" s="42"/>
      <c r="O35" s="43"/>
      <c r="P35" s="13"/>
      <c r="Q35" s="14" t="str">
        <f t="shared" si="0"/>
        <v>"ערך מדד": "compactness_index_value",</v>
      </c>
      <c r="R35" s="14" t="str">
        <f t="shared" si="1"/>
        <v>"compactness_index_value": "float",</v>
      </c>
    </row>
    <row r="36" spans="1:22" ht="15.75" customHeight="1" outlineLevel="1">
      <c r="A36" s="37" t="s">
        <v>301</v>
      </c>
      <c r="B36" s="34" t="s">
        <v>111</v>
      </c>
      <c r="C36" s="36"/>
      <c r="D36" s="71" t="s">
        <v>302</v>
      </c>
      <c r="E36" s="168" t="s">
        <v>247</v>
      </c>
      <c r="F36" s="169"/>
      <c r="G36" s="17" t="s">
        <v>248</v>
      </c>
      <c r="H36" s="68" t="s">
        <v>302</v>
      </c>
      <c r="I36" s="23"/>
      <c r="J36" s="41"/>
      <c r="K36" s="12"/>
      <c r="L36" s="12"/>
      <c r="M36" s="49"/>
      <c r="N36" s="42"/>
      <c r="O36" s="43"/>
      <c r="P36" s="13"/>
      <c r="Q36" s="14" t="str">
        <f t="shared" si="0"/>
        <v>"דירוג (מ-1 עד 197, 1 הקומפקטי ביותר)": "compactness_rank",</v>
      </c>
      <c r="R36" s="14" t="str">
        <f t="shared" si="1"/>
        <v>"compactness_rank": "Int64",</v>
      </c>
    </row>
    <row r="37" spans="1:22" ht="15.75" customHeight="1" outlineLevel="1">
      <c r="A37" s="37" t="s">
        <v>303</v>
      </c>
      <c r="B37" s="34" t="s">
        <v>111</v>
      </c>
      <c r="C37" s="36"/>
      <c r="D37" s="71" t="s">
        <v>304</v>
      </c>
      <c r="E37" s="168" t="s">
        <v>247</v>
      </c>
      <c r="F37" s="169"/>
      <c r="G37" s="17" t="s">
        <v>248</v>
      </c>
      <c r="H37" s="68" t="s">
        <v>304</v>
      </c>
      <c r="I37" s="23"/>
      <c r="J37" s="41"/>
      <c r="K37" s="12"/>
      <c r="L37" s="12"/>
      <c r="M37" s="49"/>
      <c r="N37" s="42"/>
      <c r="O37" s="43"/>
      <c r="P37" s="13"/>
      <c r="Q37" s="14" t="str">
        <f t="shared" si="0"/>
        <v>"מדד פריפריאליות אשכול (מ-1 עד 10, 1 הפריפריאלי ביותר)": "peripherality_cluster",</v>
      </c>
      <c r="R37" s="14" t="str">
        <f t="shared" si="1"/>
        <v>"peripherality_cluster": "Int64",</v>
      </c>
    </row>
    <row r="38" spans="1:22" ht="15.75" customHeight="1" outlineLevel="1">
      <c r="A38" s="37" t="s">
        <v>305</v>
      </c>
      <c r="B38" s="34" t="s">
        <v>255</v>
      </c>
      <c r="C38" s="36"/>
      <c r="D38" s="71" t="s">
        <v>306</v>
      </c>
      <c r="E38" s="168" t="s">
        <v>247</v>
      </c>
      <c r="F38" s="169"/>
      <c r="G38" s="17" t="s">
        <v>248</v>
      </c>
      <c r="H38" s="68" t="s">
        <v>306</v>
      </c>
      <c r="I38" s="23"/>
      <c r="J38" s="41"/>
      <c r="K38" s="12"/>
      <c r="L38" s="12"/>
      <c r="M38" s="49"/>
      <c r="N38" s="42"/>
      <c r="O38" s="43"/>
      <c r="P38" s="13"/>
      <c r="Q38" s="14" t="str">
        <f t="shared" si="0"/>
        <v>"מדד פריפריאליות ערך מדד": "peripherality_index_value",</v>
      </c>
      <c r="R38" s="14" t="str">
        <f t="shared" si="1"/>
        <v>"peripherality_index_value": "float",</v>
      </c>
    </row>
    <row r="39" spans="1:22" ht="15.75" customHeight="1" outlineLevel="1">
      <c r="A39" s="37" t="s">
        <v>307</v>
      </c>
      <c r="B39" s="34" t="s">
        <v>111</v>
      </c>
      <c r="C39" s="36"/>
      <c r="D39" s="71" t="s">
        <v>308</v>
      </c>
      <c r="E39" s="168" t="s">
        <v>247</v>
      </c>
      <c r="F39" s="169"/>
      <c r="G39" s="17" t="s">
        <v>248</v>
      </c>
      <c r="H39" s="68" t="s">
        <v>308</v>
      </c>
      <c r="I39" s="23"/>
      <c r="J39" s="41"/>
      <c r="K39" s="12"/>
      <c r="L39" s="12"/>
      <c r="M39" s="49"/>
      <c r="N39" s="42"/>
      <c r="O39" s="43"/>
      <c r="P39" s="13"/>
      <c r="Q39" s="14" t="str">
        <f t="shared" si="0"/>
        <v>"מדד פריפריאליות דירוג (מ-1 עד 255, 1 הפריפריאלי ביותר)": "peripherality_rank",</v>
      </c>
      <c r="R39" s="14" t="str">
        <f t="shared" si="1"/>
        <v>"peripherality_rank": "Int64",</v>
      </c>
    </row>
    <row r="40" spans="1:22" ht="15.75" customHeight="1" outlineLevel="1">
      <c r="A40" s="37" t="s">
        <v>309</v>
      </c>
      <c r="B40" s="34" t="s">
        <v>78</v>
      </c>
      <c r="C40" s="36"/>
      <c r="D40" s="72" t="s">
        <v>309</v>
      </c>
      <c r="E40" s="168" t="s">
        <v>247</v>
      </c>
      <c r="F40" s="169"/>
      <c r="G40" s="17" t="s">
        <v>248</v>
      </c>
      <c r="H40" s="68" t="s">
        <v>309</v>
      </c>
      <c r="I40" s="23"/>
      <c r="J40" s="41"/>
      <c r="K40" s="12"/>
      <c r="L40" s="12"/>
      <c r="M40" s="49"/>
      <c r="N40" s="240"/>
      <c r="O40" s="241"/>
      <c r="P40" s="13"/>
      <c r="Q40" s="14" t="str">
        <f t="shared" si="0"/>
        <v>"ingestion_timestamp": "ingestion_timestamp",</v>
      </c>
      <c r="R40" s="14" t="str">
        <f t="shared" si="1"/>
        <v>"ingestion_timestamp": "string",</v>
      </c>
    </row>
    <row r="41" spans="1:22" ht="15.75" customHeight="1" outlineLevel="1">
      <c r="A41" s="37"/>
      <c r="B41" s="34"/>
      <c r="C41" s="36"/>
      <c r="D41" s="34"/>
      <c r="E41" s="168"/>
      <c r="F41" s="169"/>
      <c r="G41" s="17"/>
      <c r="H41" s="22"/>
      <c r="I41" s="23"/>
      <c r="J41" s="41"/>
      <c r="K41" s="12"/>
      <c r="L41" s="12"/>
      <c r="M41" s="49"/>
      <c r="N41" s="240"/>
      <c r="O41" s="241"/>
      <c r="P41" s="13"/>
      <c r="Q41" s="14" t="str">
        <f t="shared" ref="Q41:Q44" si="2">CONCATENATE($Q$2,H41,$R$2,A41,$Q$2,",")</f>
        <v>"": "",</v>
      </c>
      <c r="R41" s="14" t="str">
        <f t="shared" si="1"/>
        <v>"": "",</v>
      </c>
    </row>
    <row r="42" spans="1:22" ht="15.75" customHeight="1" outlineLevel="1">
      <c r="A42" s="37"/>
      <c r="B42" s="34"/>
      <c r="C42" s="36"/>
      <c r="D42" s="16"/>
      <c r="E42" s="46"/>
      <c r="F42" s="47"/>
      <c r="G42" s="17"/>
      <c r="H42" s="22"/>
      <c r="I42" s="48"/>
      <c r="J42" s="41"/>
      <c r="K42" s="12"/>
      <c r="L42" s="12"/>
      <c r="M42" s="45"/>
      <c r="N42" s="42"/>
      <c r="O42" s="43"/>
      <c r="P42" s="13"/>
      <c r="Q42" s="14" t="str">
        <f t="shared" si="2"/>
        <v>"": "",</v>
      </c>
      <c r="R42" s="14" t="str">
        <f t="shared" si="1"/>
        <v>"": "",</v>
      </c>
    </row>
    <row r="43" spans="1:22" ht="15.75" customHeight="1" outlineLevel="1">
      <c r="A43" s="37"/>
      <c r="B43" s="34"/>
      <c r="C43" s="36"/>
      <c r="D43" s="34"/>
      <c r="E43" s="168"/>
      <c r="F43" s="169"/>
      <c r="G43" s="17"/>
      <c r="H43" s="22"/>
      <c r="I43" s="23"/>
      <c r="J43" s="41"/>
      <c r="K43" s="12"/>
      <c r="L43" s="12"/>
      <c r="M43" s="45"/>
      <c r="N43" s="240"/>
      <c r="O43" s="241"/>
      <c r="P43" s="13"/>
      <c r="Q43" s="14" t="str">
        <f t="shared" si="2"/>
        <v>"": "",</v>
      </c>
      <c r="R43" s="14" t="str">
        <f t="shared" si="1"/>
        <v>"": "",</v>
      </c>
    </row>
    <row r="44" spans="1:22" ht="15.75" customHeight="1" outlineLevel="1">
      <c r="A44" s="38" t="s">
        <v>64</v>
      </c>
      <c r="B44" s="39"/>
      <c r="C44" s="40"/>
      <c r="D44" s="9"/>
      <c r="E44" s="168"/>
      <c r="F44" s="169"/>
      <c r="G44" s="17"/>
      <c r="H44" s="25"/>
      <c r="I44" s="24"/>
      <c r="J44" s="51"/>
      <c r="K44" s="3"/>
      <c r="L44" s="3"/>
      <c r="M44" s="49"/>
      <c r="N44" s="242"/>
      <c r="O44" s="243"/>
      <c r="P44" s="4"/>
      <c r="Q44" s="14" t="str">
        <f t="shared" si="2"/>
        <v>"": "Leave Empty",</v>
      </c>
      <c r="R44" s="14" t="str">
        <f t="shared" ref="R44" si="3">CONCATENATE($Q$2,A44,$R$2,B44,$Q$2,",")</f>
        <v>"Leave Empty": "",</v>
      </c>
    </row>
    <row r="45" spans="1:22" ht="15.75" customHeight="1">
      <c r="E45" s="170"/>
      <c r="F45" s="146"/>
      <c r="G45" s="171"/>
      <c r="H45" s="155"/>
      <c r="I45" s="26"/>
      <c r="N45" s="226"/>
      <c r="O45" s="226"/>
      <c r="Q45" s="5" t="s">
        <v>178</v>
      </c>
      <c r="R45" s="5" t="s">
        <v>178</v>
      </c>
    </row>
    <row r="46" spans="1:22" ht="15.75" customHeight="1"/>
    <row r="47" spans="1:22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1:22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5:22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5:22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5:22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5:22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5:22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5:22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5:22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5:22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5:22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5:22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5:22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5:22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5:22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5:22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5:22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5:22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5:22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5:22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5:22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5:22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5:22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5:22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5:22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5:22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5:22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5:22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5:22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5:22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5:22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5:22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5:22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5:22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5:22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5:22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5:22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5:22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5:22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5:22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5:22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5:22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5:22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5:22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5:22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5:22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5:22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5:22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5:22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5:22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5:22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5:22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5:22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5:22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5:22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5:22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5:22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5:22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5:22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5:22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5:22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5:22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5:22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5:22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5:22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5:22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5:22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5:22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5:22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5:22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5:22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5:22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5:22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5:22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5:22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5:22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5:22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5:22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5:22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5:22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5:22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5:22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5:22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5:22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5:22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5:22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5:22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5:22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5:22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5:22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5:22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5:22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5:22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5:22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5:22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5:22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5:22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5:22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5:22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5:22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5:22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5:22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5:22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spans="5:22" s="18" customFormat="1" ht="15.75" customHeight="1">
      <c r="E150" s="21"/>
      <c r="F150" s="44"/>
      <c r="G150" s="27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spans="5:22" s="18" customFormat="1" ht="15.75" customHeight="1">
      <c r="E151" s="21"/>
      <c r="F151" s="44"/>
      <c r="G151" s="27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5:22" s="18" customFormat="1" ht="15.75" customHeight="1">
      <c r="E152" s="21"/>
      <c r="F152" s="44"/>
      <c r="G152" s="27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spans="5:22" s="18" customFormat="1" ht="15.75" customHeight="1">
      <c r="E153" s="21"/>
      <c r="F153" s="44"/>
      <c r="G153" s="27"/>
      <c r="J153"/>
      <c r="K153"/>
      <c r="L153"/>
      <c r="M153"/>
      <c r="N153"/>
      <c r="O153"/>
      <c r="P153"/>
      <c r="Q153"/>
      <c r="R153"/>
      <c r="S153"/>
      <c r="T153"/>
      <c r="U153"/>
      <c r="V153"/>
    </row>
    <row r="154" spans="5:22" s="18" customFormat="1" ht="15.75" customHeight="1">
      <c r="E154" s="21"/>
      <c r="F154" s="44"/>
      <c r="G154" s="27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 spans="5:22" s="18" customFormat="1" ht="15.75" customHeight="1">
      <c r="E155" s="21"/>
      <c r="F155" s="44"/>
      <c r="G155" s="27"/>
      <c r="J155"/>
      <c r="K155"/>
      <c r="L155"/>
      <c r="M155"/>
      <c r="N155"/>
      <c r="O155"/>
      <c r="P155"/>
      <c r="Q155"/>
      <c r="R155"/>
      <c r="S155"/>
      <c r="T155"/>
      <c r="U155"/>
      <c r="V155"/>
    </row>
    <row r="156" spans="5:22" s="18" customFormat="1" ht="15.75" customHeight="1">
      <c r="E156" s="21"/>
      <c r="F156" s="44"/>
      <c r="G156" s="27"/>
      <c r="J156"/>
      <c r="K156"/>
      <c r="L156"/>
      <c r="M156"/>
      <c r="N156"/>
      <c r="O156"/>
      <c r="P156"/>
      <c r="Q156"/>
      <c r="R156"/>
      <c r="S156"/>
      <c r="T156"/>
      <c r="U156"/>
      <c r="V156"/>
    </row>
    <row r="157" spans="5:22" s="18" customFormat="1" ht="15.75" customHeight="1">
      <c r="E157" s="21"/>
      <c r="F157" s="44"/>
      <c r="G157" s="27"/>
      <c r="J157"/>
      <c r="K157"/>
      <c r="L157"/>
      <c r="M157"/>
      <c r="N157"/>
      <c r="O157"/>
      <c r="P157"/>
      <c r="Q157"/>
      <c r="R157"/>
      <c r="S157"/>
      <c r="T157"/>
      <c r="U157"/>
      <c r="V157"/>
    </row>
    <row r="158" spans="5:22" s="18" customFormat="1" ht="15.75" customHeight="1">
      <c r="E158" s="21"/>
      <c r="F158" s="44"/>
      <c r="G158" s="27"/>
      <c r="J158"/>
      <c r="K158"/>
      <c r="L158"/>
      <c r="M158"/>
      <c r="N158"/>
      <c r="O158"/>
      <c r="P158"/>
      <c r="Q158"/>
      <c r="R158"/>
      <c r="S158"/>
      <c r="T158"/>
      <c r="U158"/>
      <c r="V158"/>
    </row>
    <row r="159" spans="5:22" s="18" customFormat="1" ht="15.75" customHeight="1">
      <c r="E159" s="21"/>
      <c r="F159" s="44"/>
      <c r="G159" s="27"/>
      <c r="J159"/>
      <c r="K159"/>
      <c r="L159"/>
      <c r="M159"/>
      <c r="N159"/>
      <c r="O159"/>
      <c r="P159"/>
      <c r="Q159"/>
      <c r="R159"/>
      <c r="S159"/>
      <c r="T159"/>
      <c r="U159"/>
      <c r="V159"/>
    </row>
    <row r="160" spans="5:22" s="18" customFormat="1" ht="15.75" customHeight="1">
      <c r="E160" s="21"/>
      <c r="F160" s="44"/>
      <c r="G160" s="27"/>
      <c r="J160"/>
      <c r="K160"/>
      <c r="L160"/>
      <c r="M160"/>
      <c r="N160"/>
      <c r="O160"/>
      <c r="P160"/>
      <c r="Q160"/>
      <c r="R160"/>
      <c r="S160"/>
      <c r="T160"/>
      <c r="U160"/>
      <c r="V160"/>
    </row>
    <row r="161" spans="5:22" s="18" customFormat="1" ht="15.75" customHeight="1">
      <c r="E161" s="21"/>
      <c r="F161" s="44"/>
      <c r="G161" s="27"/>
      <c r="J161"/>
      <c r="K161"/>
      <c r="L161"/>
      <c r="M161"/>
      <c r="N161"/>
      <c r="O161"/>
      <c r="P161"/>
      <c r="Q161"/>
      <c r="R161"/>
      <c r="S161"/>
      <c r="T161"/>
      <c r="U161"/>
      <c r="V161"/>
    </row>
    <row r="162" spans="5:22" s="18" customFormat="1" ht="15.75" customHeight="1">
      <c r="E162" s="21"/>
      <c r="F162" s="44"/>
      <c r="G162" s="27"/>
      <c r="J162"/>
      <c r="K162"/>
      <c r="L162"/>
      <c r="M162"/>
      <c r="N162"/>
      <c r="O162"/>
      <c r="P162"/>
      <c r="Q162"/>
      <c r="R162"/>
      <c r="S162"/>
      <c r="T162"/>
      <c r="U162"/>
      <c r="V162"/>
    </row>
    <row r="163" spans="5:22" s="18" customFormat="1" ht="15.75" customHeight="1">
      <c r="E163" s="21"/>
      <c r="F163" s="44"/>
      <c r="G163" s="27"/>
      <c r="J163"/>
      <c r="K163"/>
      <c r="L163"/>
      <c r="M163"/>
      <c r="N163"/>
      <c r="O163"/>
      <c r="P163"/>
      <c r="Q163"/>
      <c r="R163"/>
      <c r="S163"/>
      <c r="T163"/>
      <c r="U163"/>
      <c r="V163"/>
    </row>
    <row r="164" spans="5:22" s="18" customFormat="1" ht="15.75" customHeight="1">
      <c r="E164" s="21"/>
      <c r="F164" s="44"/>
      <c r="G164" s="27"/>
      <c r="J164"/>
      <c r="K164"/>
      <c r="L164"/>
      <c r="M164"/>
      <c r="N164"/>
      <c r="O164"/>
      <c r="P164"/>
      <c r="Q164"/>
      <c r="R164"/>
      <c r="S164"/>
      <c r="T164"/>
      <c r="U164"/>
      <c r="V164"/>
    </row>
    <row r="165" spans="5:22" s="18" customFormat="1" ht="15.75" customHeight="1">
      <c r="E165" s="21"/>
      <c r="F165" s="44"/>
      <c r="G165" s="27"/>
      <c r="J165"/>
      <c r="K165"/>
      <c r="L165"/>
      <c r="M165"/>
      <c r="N165"/>
      <c r="O165"/>
      <c r="P165"/>
      <c r="Q165"/>
      <c r="R165"/>
      <c r="S165"/>
      <c r="T165"/>
      <c r="U165"/>
      <c r="V165"/>
    </row>
    <row r="166" spans="5:22" s="18" customFormat="1" ht="15.75" customHeight="1">
      <c r="E166" s="21"/>
      <c r="F166" s="44"/>
      <c r="G166" s="27"/>
      <c r="J166"/>
      <c r="K166"/>
      <c r="L166"/>
      <c r="M166"/>
      <c r="N166"/>
      <c r="O166"/>
      <c r="P166"/>
      <c r="Q166"/>
      <c r="R166"/>
      <c r="S166"/>
      <c r="T166"/>
      <c r="U166"/>
      <c r="V166"/>
    </row>
    <row r="167" spans="5:22" s="18" customFormat="1" ht="15.75" customHeight="1">
      <c r="E167" s="21"/>
      <c r="F167" s="44"/>
      <c r="G167" s="27"/>
      <c r="J167"/>
      <c r="K167"/>
      <c r="L167"/>
      <c r="M167"/>
      <c r="N167"/>
      <c r="O167"/>
      <c r="P167"/>
      <c r="Q167"/>
      <c r="R167"/>
      <c r="S167"/>
      <c r="T167"/>
      <c r="U167"/>
      <c r="V167"/>
    </row>
    <row r="168" spans="5:22" s="18" customFormat="1" ht="15.75" customHeight="1">
      <c r="E168" s="21"/>
      <c r="F168" s="44"/>
      <c r="G168" s="27"/>
      <c r="J168"/>
      <c r="K168"/>
      <c r="L168"/>
      <c r="M168"/>
      <c r="N168"/>
      <c r="O168"/>
      <c r="P168"/>
      <c r="Q168"/>
      <c r="R168"/>
      <c r="S168"/>
      <c r="T168"/>
      <c r="U168"/>
      <c r="V168"/>
    </row>
    <row r="169" spans="5:22" s="18" customFormat="1" ht="15.75" customHeight="1">
      <c r="E169" s="21"/>
      <c r="F169" s="44"/>
      <c r="G169" s="27"/>
      <c r="J169"/>
      <c r="K169"/>
      <c r="L169"/>
      <c r="M169"/>
      <c r="N169"/>
      <c r="O169"/>
      <c r="P169"/>
      <c r="Q169"/>
      <c r="R169"/>
      <c r="S169"/>
      <c r="T169"/>
      <c r="U169"/>
      <c r="V169"/>
    </row>
    <row r="170" spans="5:22" s="18" customFormat="1" ht="15.75" customHeight="1">
      <c r="E170" s="21"/>
      <c r="F170" s="44"/>
      <c r="G170" s="27"/>
      <c r="J170"/>
      <c r="K170"/>
      <c r="L170"/>
      <c r="M170"/>
      <c r="N170"/>
      <c r="O170"/>
      <c r="P170"/>
      <c r="Q170"/>
      <c r="R170"/>
      <c r="S170"/>
      <c r="T170"/>
      <c r="U170"/>
      <c r="V170"/>
    </row>
    <row r="171" spans="5:22" s="18" customFormat="1" ht="15.75" customHeight="1">
      <c r="E171" s="21"/>
      <c r="F171" s="44"/>
      <c r="G171" s="27"/>
      <c r="J171"/>
      <c r="K171"/>
      <c r="L171"/>
      <c r="M171"/>
      <c r="N171"/>
      <c r="O171"/>
      <c r="P171"/>
      <c r="Q171"/>
      <c r="R171"/>
      <c r="S171"/>
      <c r="T171"/>
      <c r="U171"/>
      <c r="V171"/>
    </row>
    <row r="172" spans="5:22" s="18" customFormat="1" ht="15.75" customHeight="1">
      <c r="E172" s="21"/>
      <c r="F172" s="44"/>
      <c r="G172" s="27"/>
      <c r="J172"/>
      <c r="K172"/>
      <c r="L172"/>
      <c r="M172"/>
      <c r="N172"/>
      <c r="O172"/>
      <c r="P172"/>
      <c r="Q172"/>
      <c r="R172"/>
      <c r="S172"/>
      <c r="T172"/>
      <c r="U172"/>
      <c r="V172"/>
    </row>
  </sheetData>
  <autoFilter ref="A8:P44" xr:uid="{00000000-0009-0000-0000-000000000000}"/>
  <mergeCells count="76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R2:R5"/>
    <mergeCell ref="C3:C5"/>
    <mergeCell ref="D3:D5"/>
    <mergeCell ref="F3:G3"/>
    <mergeCell ref="F4:G4"/>
    <mergeCell ref="F5:G5"/>
    <mergeCell ref="B7:D7"/>
    <mergeCell ref="E7:I7"/>
    <mergeCell ref="J7:L7"/>
    <mergeCell ref="N7:P7"/>
    <mergeCell ref="E8:F8"/>
    <mergeCell ref="N8:O8"/>
    <mergeCell ref="E9:F9"/>
    <mergeCell ref="N9:O9"/>
    <mergeCell ref="E10:F10"/>
    <mergeCell ref="N10:O10"/>
    <mergeCell ref="E11:F11"/>
    <mergeCell ref="N11:O11"/>
    <mergeCell ref="E19:F19"/>
    <mergeCell ref="N19:O19"/>
    <mergeCell ref="E12:F12"/>
    <mergeCell ref="N12:O12"/>
    <mergeCell ref="E13:F13"/>
    <mergeCell ref="N13:O13"/>
    <mergeCell ref="E14:F14"/>
    <mergeCell ref="E15:F15"/>
    <mergeCell ref="N15:O15"/>
    <mergeCell ref="E16:F16"/>
    <mergeCell ref="E17:F17"/>
    <mergeCell ref="N17:O17"/>
    <mergeCell ref="E18:F18"/>
    <mergeCell ref="N18:O18"/>
    <mergeCell ref="E20:F20"/>
    <mergeCell ref="N20:O20"/>
    <mergeCell ref="E21:F21"/>
    <mergeCell ref="N21:O21"/>
    <mergeCell ref="E40:F40"/>
    <mergeCell ref="N40:O40"/>
    <mergeCell ref="E22:F22"/>
    <mergeCell ref="E23:F23"/>
    <mergeCell ref="E24:F24"/>
    <mergeCell ref="E25:F25"/>
    <mergeCell ref="E36:F36"/>
    <mergeCell ref="E37:F37"/>
    <mergeCell ref="E38:F38"/>
    <mergeCell ref="E39:F39"/>
    <mergeCell ref="E26:F26"/>
    <mergeCell ref="E27:F27"/>
    <mergeCell ref="E45:F45"/>
    <mergeCell ref="G45:H45"/>
    <mergeCell ref="N45:O45"/>
    <mergeCell ref="E41:F41"/>
    <mergeCell ref="N41:O41"/>
    <mergeCell ref="E43:F43"/>
    <mergeCell ref="N43:O43"/>
    <mergeCell ref="E44:F44"/>
    <mergeCell ref="N44:O44"/>
    <mergeCell ref="E28:F28"/>
    <mergeCell ref="E33:F33"/>
    <mergeCell ref="E34:F34"/>
    <mergeCell ref="E35:F35"/>
    <mergeCell ref="E31:F31"/>
    <mergeCell ref="E32:F32"/>
    <mergeCell ref="E29:F29"/>
    <mergeCell ref="E30:F30"/>
  </mergeCells>
  <conditionalFormatting sqref="A9:A44">
    <cfRule type="expression" dxfId="130" priority="1">
      <formula>M9 = "On Hold"</formula>
    </cfRule>
  </conditionalFormatting>
  <conditionalFormatting sqref="B2:B5 J9:P44">
    <cfRule type="cellIs" dxfId="129" priority="2" operator="equal">
      <formula>"Done"</formula>
    </cfRule>
    <cfRule type="cellIs" dxfId="128" priority="3" operator="equal">
      <formula>"On Hold"</formula>
    </cfRule>
    <cfRule type="cellIs" dxfId="127" priority="4" operator="equal">
      <formula>"Ready for Review"</formula>
    </cfRule>
    <cfRule type="cellIs" dxfId="126" priority="5" operator="equal">
      <formula>"In Review"</formula>
    </cfRule>
  </conditionalFormatting>
  <dataValidations count="7">
    <dataValidation type="list" allowBlank="1" sqref="N9:N44" xr:uid="{37117DC2-2F83-4F0A-ACC9-186E4A38199B}">
      <formula1>Categories</formula1>
    </dataValidation>
    <dataValidation type="list" allowBlank="1" sqref="P9:P44" xr:uid="{20287DB8-0513-4191-AF5B-5AEAC39D627D}">
      <formula1>Versions</formula1>
    </dataValidation>
    <dataValidation type="list" allowBlank="1" sqref="E9:E44" xr:uid="{70965A69-1B26-4C5E-9655-4BFBA87DBF75}">
      <formula1>Sources</formula1>
    </dataValidation>
    <dataValidation type="list" allowBlank="1" sqref="B9:B44" xr:uid="{361AF05C-BB69-49E2-BCE3-704A7D3C8700}">
      <formula1>Data_Types</formula1>
    </dataValidation>
    <dataValidation type="list" allowBlank="1" showErrorMessage="1" sqref="B2" xr:uid="{1C14353F-9A6E-4897-B1A1-CE30923E844A}">
      <formula1>STT_Statuses</formula1>
    </dataValidation>
    <dataValidation type="list" allowBlank="1" sqref="B4:B5" xr:uid="{FF13089F-DF95-4554-9A24-CF210D8E96D1}">
      <formula1>ETL_Statuses</formula1>
    </dataValidation>
    <dataValidation type="list" allowBlank="1" sqref="B3 M9:M44" xr:uid="{241B3297-A81F-499B-B702-4E855015BFD3}">
      <formula1>Statuses</formula1>
    </dataValidation>
  </dataValidations>
  <hyperlinks>
    <hyperlink ref="D3:D5" r:id="rId1" display="נתוני הלמ&quot;ס" xr:uid="{BFF5E207-B987-4AE2-B1D8-C8A5E918EB7D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3C58-14AF-478A-850F-B427C71B4781}">
  <sheetPr>
    <tabColor rgb="FF00B050"/>
    <outlinePr summaryBelow="0" summaryRight="0"/>
  </sheetPr>
  <dimension ref="A1:R153"/>
  <sheetViews>
    <sheetView zoomScaleNormal="100" workbookViewId="0">
      <pane xSplit="1" ySplit="8" topLeftCell="B9" activePane="bottomRight" state="frozen"/>
      <selection pane="bottomRight" activeCell="D10" sqref="D10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9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310</v>
      </c>
      <c r="E3" s="148"/>
      <c r="F3" s="150" t="s">
        <v>311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9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9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312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9"/>
      <c r="R5" s="229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/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32</v>
      </c>
      <c r="B9" s="34" t="s">
        <v>111</v>
      </c>
      <c r="C9" s="36" t="e" vm="1">
        <v>#VALUE!</v>
      </c>
      <c r="D9" s="34" t="s">
        <v>313</v>
      </c>
      <c r="E9" s="168" t="s">
        <v>312</v>
      </c>
      <c r="F9" s="169"/>
      <c r="G9" s="17" t="s">
        <v>314</v>
      </c>
      <c r="H9" s="17" t="s">
        <v>315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"accountnumber": "association_id",</v>
      </c>
      <c r="R9" s="14" t="str">
        <f>CONCATENATE($Q$2,A9,$R$2,B9,$Q$2,",")</f>
        <v>"association_id": "Int64",</v>
      </c>
    </row>
    <row r="10" spans="1:18" ht="15.75" customHeight="1" outlineLevel="1">
      <c r="A10" s="37" t="s">
        <v>316</v>
      </c>
      <c r="B10" s="34" t="s">
        <v>78</v>
      </c>
      <c r="C10" s="36" t="e" vm="1">
        <v>#VALUE!</v>
      </c>
      <c r="D10" s="34" t="s">
        <v>317</v>
      </c>
      <c r="E10" s="168" t="s">
        <v>312</v>
      </c>
      <c r="F10" s="169"/>
      <c r="G10" s="17" t="s">
        <v>314</v>
      </c>
      <c r="H10" s="17" t="s">
        <v>318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18" si="0">CONCATENATE($Q$2,H10,$R$2,A10,$Q$2,",")</f>
        <v>"accountid": "association_code",</v>
      </c>
      <c r="R10" s="14" t="str">
        <f t="shared" ref="R10:R24" si="1">CONCATENATE($Q$2,A10,$R$2,B10,$Q$2,",")</f>
        <v>"association_code": "string",</v>
      </c>
    </row>
    <row r="11" spans="1:18" ht="15.75" customHeight="1" outlineLevel="1">
      <c r="A11" s="37" t="s">
        <v>319</v>
      </c>
      <c r="B11" s="34" t="s">
        <v>78</v>
      </c>
      <c r="C11" s="36"/>
      <c r="D11" s="16" t="s">
        <v>320</v>
      </c>
      <c r="E11" s="168" t="s">
        <v>312</v>
      </c>
      <c r="F11" s="169"/>
      <c r="G11" s="17" t="s">
        <v>314</v>
      </c>
      <c r="H11" s="22" t="s">
        <v>321</v>
      </c>
      <c r="I11" s="17"/>
      <c r="J11" s="41"/>
      <c r="K11" s="12"/>
      <c r="L11" s="12"/>
      <c r="M11" s="49"/>
      <c r="N11" s="240"/>
      <c r="O11" s="241"/>
      <c r="P11" s="13"/>
      <c r="Q11" s="14" t="str">
        <f t="shared" si="0"/>
        <v>"name": "association_name",</v>
      </c>
      <c r="R11" s="14" t="str">
        <f t="shared" si="1"/>
        <v>"association_name": "string",</v>
      </c>
    </row>
    <row r="12" spans="1:18" ht="15.75" customHeight="1" outlineLevel="1">
      <c r="A12" s="37" t="s">
        <v>322</v>
      </c>
      <c r="B12" s="34" t="s">
        <v>78</v>
      </c>
      <c r="C12" s="36"/>
      <c r="D12" s="34" t="s">
        <v>323</v>
      </c>
      <c r="E12" s="168" t="s">
        <v>312</v>
      </c>
      <c r="F12" s="169"/>
      <c r="G12" s="17" t="s">
        <v>314</v>
      </c>
      <c r="H12" s="17" t="s">
        <v>324</v>
      </c>
      <c r="I12" s="17" t="s">
        <v>325</v>
      </c>
      <c r="J12" s="41"/>
      <c r="K12" s="12"/>
      <c r="L12" s="12"/>
      <c r="M12" s="49"/>
      <c r="N12" s="240"/>
      <c r="O12" s="241"/>
      <c r="P12" s="13"/>
      <c r="Q12" s="14" t="str">
        <f t="shared" si="0"/>
        <v>"new_new_accounttypefs_label": "association_type",</v>
      </c>
      <c r="R12" s="14" t="str">
        <f t="shared" si="1"/>
        <v>"association_type": "string",</v>
      </c>
    </row>
    <row r="13" spans="1:18" ht="15.75" customHeight="1" outlineLevel="1">
      <c r="A13" s="37" t="s">
        <v>326</v>
      </c>
      <c r="B13" s="34" t="s">
        <v>78</v>
      </c>
      <c r="C13" s="36"/>
      <c r="D13" s="34" t="s">
        <v>327</v>
      </c>
      <c r="E13" s="168" t="s">
        <v>312</v>
      </c>
      <c r="F13" s="169"/>
      <c r="G13" s="17" t="s">
        <v>314</v>
      </c>
      <c r="H13" s="17" t="s">
        <v>328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"new_providernumber": "provider_num",</v>
      </c>
      <c r="R13" s="14" t="str">
        <f t="shared" si="1"/>
        <v>"provider_num": "string",</v>
      </c>
    </row>
    <row r="14" spans="1:18" ht="15.75" customHeight="1" outlineLevel="1">
      <c r="A14" s="37" t="s">
        <v>329</v>
      </c>
      <c r="B14" s="34" t="s">
        <v>78</v>
      </c>
      <c r="C14" s="36"/>
      <c r="D14" s="34" t="s">
        <v>330</v>
      </c>
      <c r="E14" s="168" t="s">
        <v>312</v>
      </c>
      <c r="F14" s="169"/>
      <c r="G14" s="17" t="s">
        <v>314</v>
      </c>
      <c r="H14" s="17" t="s">
        <v>331</v>
      </c>
      <c r="I14" s="23"/>
      <c r="J14" s="41"/>
      <c r="K14" s="12"/>
      <c r="L14" s="12"/>
      <c r="M14" s="49"/>
      <c r="N14" s="42"/>
      <c r="O14" s="43"/>
      <c r="P14" s="13"/>
      <c r="Q14" s="14" t="str">
        <f t="shared" si="0"/>
        <v>"_new_id_mainbranch_value_label": "main_branch_name",</v>
      </c>
      <c r="R14" s="14" t="str">
        <f t="shared" si="1"/>
        <v>"main_branch_name": "string",</v>
      </c>
    </row>
    <row r="15" spans="1:18" ht="15.75" customHeight="1" outlineLevel="1">
      <c r="A15" s="37" t="s">
        <v>332</v>
      </c>
      <c r="B15" s="34" t="s">
        <v>78</v>
      </c>
      <c r="C15" s="36"/>
      <c r="D15" s="34" t="s">
        <v>333</v>
      </c>
      <c r="E15" s="168" t="s">
        <v>312</v>
      </c>
      <c r="F15" s="169"/>
      <c r="G15" s="17" t="s">
        <v>314</v>
      </c>
      <c r="H15" s="17" t="s">
        <v>334</v>
      </c>
      <c r="I15" s="23"/>
      <c r="J15" s="41"/>
      <c r="K15" s="12"/>
      <c r="L15" s="12"/>
      <c r="M15" s="49"/>
      <c r="N15" s="42"/>
      <c r="O15" s="43"/>
      <c r="P15" s="13"/>
      <c r="Q15" s="14" t="str">
        <f t="shared" si="0"/>
        <v>"_new_id_mainbranch_value": "main_branch_code",</v>
      </c>
      <c r="R15" s="14" t="str">
        <f t="shared" si="1"/>
        <v>"main_branch_code": "string",</v>
      </c>
    </row>
    <row r="16" spans="1:18" ht="15.75" customHeight="1" outlineLevel="1">
      <c r="A16" s="37" t="s">
        <v>335</v>
      </c>
      <c r="B16" s="34" t="s">
        <v>111</v>
      </c>
      <c r="C16" s="36"/>
      <c r="D16" s="34" t="s">
        <v>336</v>
      </c>
      <c r="E16" s="168" t="s">
        <v>312</v>
      </c>
      <c r="F16" s="169"/>
      <c r="G16" s="17" t="s">
        <v>314</v>
      </c>
      <c r="H16" s="17" t="s">
        <v>337</v>
      </c>
      <c r="I16" s="23"/>
      <c r="J16" s="41"/>
      <c r="K16" s="12"/>
      <c r="L16" s="12"/>
      <c r="M16" s="49"/>
      <c r="N16" s="42"/>
      <c r="O16" s="43"/>
      <c r="P16" s="13"/>
      <c r="Q16" s="14" t="str">
        <f t="shared" si="0"/>
        <v>"statecode": "is_inactive",</v>
      </c>
      <c r="R16" s="14" t="str">
        <f t="shared" si="1"/>
        <v>"is_inactive": "Int64",</v>
      </c>
    </row>
    <row r="17" spans="1:18" ht="15.75" customHeight="1" outlineLevel="1">
      <c r="A17" s="37" t="s">
        <v>338</v>
      </c>
      <c r="B17" s="34" t="s">
        <v>339</v>
      </c>
      <c r="C17" s="36"/>
      <c r="D17" s="34" t="s">
        <v>340</v>
      </c>
      <c r="E17" s="168" t="s">
        <v>312</v>
      </c>
      <c r="F17" s="169"/>
      <c r="G17" s="17" t="s">
        <v>314</v>
      </c>
      <c r="H17" s="22" t="s">
        <v>341</v>
      </c>
      <c r="I17" s="23"/>
      <c r="J17" s="41"/>
      <c r="K17" s="12"/>
      <c r="L17" s="12"/>
      <c r="M17" s="49"/>
      <c r="N17" s="42"/>
      <c r="O17" s="43"/>
      <c r="P17" s="13"/>
      <c r="Q17" s="14" t="str">
        <f t="shared" si="0"/>
        <v>"statuscode": "status_code",</v>
      </c>
      <c r="R17" s="14" t="str">
        <f t="shared" si="1"/>
        <v>"status_code": "Int65",</v>
      </c>
    </row>
    <row r="18" spans="1:18" ht="15.75" customHeight="1" outlineLevel="1">
      <c r="A18" s="37" t="s">
        <v>342</v>
      </c>
      <c r="B18" s="34" t="s">
        <v>239</v>
      </c>
      <c r="C18" s="36"/>
      <c r="D18" s="34" t="s">
        <v>343</v>
      </c>
      <c r="E18" s="168" t="s">
        <v>312</v>
      </c>
      <c r="F18" s="169"/>
      <c r="G18" s="17" t="s">
        <v>314</v>
      </c>
      <c r="H18" s="17" t="s">
        <v>344</v>
      </c>
      <c r="I18" s="23"/>
      <c r="J18" s="41"/>
      <c r="K18" s="12"/>
      <c r="L18" s="12"/>
      <c r="M18" s="49"/>
      <c r="N18" s="240"/>
      <c r="O18" s="241"/>
      <c r="P18" s="13"/>
      <c r="Q18" s="14" t="str">
        <f t="shared" si="0"/>
        <v>"modifiedon": "modified_on_date",</v>
      </c>
      <c r="R18" s="14" t="str">
        <f t="shared" si="1"/>
        <v>"modified_on_date": "datetime",</v>
      </c>
    </row>
    <row r="19" spans="1:18" ht="15.75" customHeight="1" outlineLevel="1">
      <c r="A19" s="37"/>
      <c r="B19" s="34"/>
      <c r="C19" s="36"/>
      <c r="D19" s="16"/>
      <c r="E19" s="168"/>
      <c r="F19" s="169"/>
      <c r="G19" s="17"/>
      <c r="H19" s="17"/>
      <c r="I19" s="23"/>
      <c r="J19" s="41"/>
      <c r="K19" s="12"/>
      <c r="L19" s="12"/>
      <c r="M19" s="49"/>
      <c r="N19" s="240"/>
      <c r="O19" s="241"/>
      <c r="P19" s="13"/>
      <c r="Q19" s="14" t="str">
        <f>CONCATENATE($Q$2,H19,$R$2,A19,$Q$2,",")</f>
        <v>"": "",</v>
      </c>
      <c r="R19" s="14" t="str">
        <f t="shared" si="1"/>
        <v>"": "",</v>
      </c>
    </row>
    <row r="20" spans="1:18" ht="15.75" customHeight="1" outlineLevel="1">
      <c r="A20" s="37"/>
      <c r="B20" s="34"/>
      <c r="C20" s="36"/>
      <c r="D20" s="16"/>
      <c r="E20" s="168"/>
      <c r="F20" s="169"/>
      <c r="G20" s="17"/>
      <c r="H20" s="17"/>
      <c r="I20" s="23"/>
      <c r="J20" s="41"/>
      <c r="K20" s="12"/>
      <c r="L20" s="12"/>
      <c r="M20" s="49"/>
      <c r="N20" s="240"/>
      <c r="O20" s="241"/>
      <c r="P20" s="13"/>
      <c r="Q20" s="14" t="str">
        <f t="shared" ref="Q20:Q25" si="2">CONCATENATE($Q$2,H20,$R$2,A20,$Q$2,",")</f>
        <v>"": "",</v>
      </c>
      <c r="R20" s="14" t="str">
        <f t="shared" si="1"/>
        <v>"": "",</v>
      </c>
    </row>
    <row r="21" spans="1:18" ht="15.75" customHeight="1" outlineLevel="1">
      <c r="A21" s="37"/>
      <c r="B21" s="34"/>
      <c r="C21" s="36"/>
      <c r="D21" s="34"/>
      <c r="E21" s="168"/>
      <c r="F21" s="169"/>
      <c r="G21" s="17"/>
      <c r="H21" s="22"/>
      <c r="I21" s="23"/>
      <c r="J21" s="41"/>
      <c r="K21" s="12"/>
      <c r="L21" s="12"/>
      <c r="M21" s="49"/>
      <c r="N21" s="240"/>
      <c r="O21" s="241"/>
      <c r="P21" s="13"/>
      <c r="Q21" s="14" t="str">
        <f t="shared" si="2"/>
        <v>"": "",</v>
      </c>
      <c r="R21" s="14" t="str">
        <f t="shared" si="1"/>
        <v>"": "",</v>
      </c>
    </row>
    <row r="22" spans="1:18" ht="15.75" customHeight="1" outlineLevel="1">
      <c r="A22" s="37"/>
      <c r="B22" s="34"/>
      <c r="C22" s="36"/>
      <c r="D22" s="16"/>
      <c r="E22" s="168"/>
      <c r="F22" s="169"/>
      <c r="G22" s="17"/>
      <c r="H22" s="22"/>
      <c r="I22" s="23"/>
      <c r="J22" s="41"/>
      <c r="K22" s="12"/>
      <c r="L22" s="12"/>
      <c r="M22" s="49"/>
      <c r="N22" s="240"/>
      <c r="O22" s="241"/>
      <c r="P22" s="13"/>
      <c r="Q22" s="14" t="str">
        <f t="shared" si="2"/>
        <v>"": "",</v>
      </c>
      <c r="R22" s="14" t="str">
        <f t="shared" si="1"/>
        <v>"": "",</v>
      </c>
    </row>
    <row r="23" spans="1:18" ht="15.75" customHeight="1" outlineLevel="1">
      <c r="A23" s="37"/>
      <c r="B23" s="34"/>
      <c r="C23" s="36"/>
      <c r="D23" s="16"/>
      <c r="E23" s="46"/>
      <c r="F23" s="47"/>
      <c r="G23" s="17"/>
      <c r="H23" s="22"/>
      <c r="I23" s="48"/>
      <c r="J23" s="41"/>
      <c r="K23" s="12"/>
      <c r="L23" s="12"/>
      <c r="M23" s="45"/>
      <c r="N23" s="42"/>
      <c r="O23" s="43"/>
      <c r="P23" s="13"/>
      <c r="Q23" s="14" t="str">
        <f t="shared" si="2"/>
        <v>"": "",</v>
      </c>
      <c r="R23" s="14" t="str">
        <f t="shared" si="1"/>
        <v>"": "",</v>
      </c>
    </row>
    <row r="24" spans="1:18" ht="15.75" customHeight="1" outlineLevel="1">
      <c r="A24" s="37"/>
      <c r="B24" s="34"/>
      <c r="C24" s="36"/>
      <c r="D24" s="34"/>
      <c r="E24" s="168"/>
      <c r="F24" s="169"/>
      <c r="G24" s="17"/>
      <c r="H24" s="22"/>
      <c r="I24" s="23"/>
      <c r="J24" s="41"/>
      <c r="K24" s="12"/>
      <c r="L24" s="12"/>
      <c r="M24" s="45"/>
      <c r="N24" s="240"/>
      <c r="O24" s="241"/>
      <c r="P24" s="13"/>
      <c r="Q24" s="14" t="str">
        <f t="shared" si="2"/>
        <v>"": "",</v>
      </c>
      <c r="R24" s="14" t="str">
        <f t="shared" si="1"/>
        <v>"": "",</v>
      </c>
    </row>
    <row r="25" spans="1:18" ht="15.75" customHeight="1" outlineLevel="1">
      <c r="A25" s="38" t="s">
        <v>64</v>
      </c>
      <c r="B25" s="39"/>
      <c r="C25" s="40"/>
      <c r="D25" s="9"/>
      <c r="E25" s="168"/>
      <c r="F25" s="169"/>
      <c r="G25" s="17"/>
      <c r="H25" s="25"/>
      <c r="I25" s="24"/>
      <c r="J25" s="51"/>
      <c r="K25" s="3"/>
      <c r="L25" s="3"/>
      <c r="M25" s="49"/>
      <c r="N25" s="242"/>
      <c r="O25" s="243"/>
      <c r="P25" s="4"/>
      <c r="Q25" s="14" t="str">
        <f t="shared" si="2"/>
        <v>"": "Leave Empty",</v>
      </c>
      <c r="R25" s="14" t="e">
        <f>IF(#REF!="Done",H25 &amp; "::" &amp; B25 &amp; " as " &amp; A25 &amp; IF(B26 = "", "",","),"")</f>
        <v>#REF!</v>
      </c>
    </row>
    <row r="26" spans="1:18" ht="15.75" customHeight="1">
      <c r="E26" s="170"/>
      <c r="F26" s="146"/>
      <c r="G26" s="171"/>
      <c r="H26" s="155"/>
      <c r="I26" s="26"/>
      <c r="N26" s="226"/>
      <c r="O26" s="226"/>
      <c r="Q26" s="5" t="s">
        <v>178</v>
      </c>
      <c r="R26" s="5" t="s">
        <v>178</v>
      </c>
    </row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spans="4:18" ht="15.75" customHeight="1"/>
    <row r="34" spans="4:18" ht="15.75" customHeight="1"/>
    <row r="35" spans="4:18" ht="15.75" customHeight="1"/>
    <row r="36" spans="4:18" ht="15.75" customHeight="1"/>
    <row r="37" spans="4:18" ht="15.75" customHeight="1"/>
    <row r="38" spans="4:18" ht="15.75" customHeight="1"/>
    <row r="39" spans="4:18" s="18" customFormat="1" ht="15.75" customHeight="1">
      <c r="D39" s="54"/>
      <c r="E39" s="21"/>
      <c r="F39" s="44"/>
      <c r="G39" s="27"/>
      <c r="J39"/>
      <c r="K39"/>
      <c r="L39"/>
      <c r="M39"/>
      <c r="N39"/>
      <c r="O39"/>
      <c r="P39"/>
      <c r="Q39"/>
      <c r="R39"/>
    </row>
    <row r="40" spans="4:18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</row>
    <row r="41" spans="4:18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</row>
    <row r="42" spans="4:18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</row>
    <row r="43" spans="4:18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</row>
    <row r="44" spans="4:18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</row>
    <row r="45" spans="4:18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</row>
    <row r="46" spans="4:18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</row>
    <row r="47" spans="4:18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</row>
    <row r="48" spans="4:18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</row>
    <row r="49" spans="5:18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</row>
    <row r="50" spans="5:18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</row>
    <row r="51" spans="5:18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</row>
    <row r="52" spans="5:18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</row>
    <row r="53" spans="5:18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</row>
    <row r="54" spans="5:18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</row>
    <row r="55" spans="5:18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</row>
    <row r="56" spans="5:18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</row>
    <row r="57" spans="5:18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</row>
    <row r="58" spans="5:18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</row>
    <row r="59" spans="5:18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</row>
    <row r="60" spans="5:18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</row>
    <row r="61" spans="5:18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</row>
    <row r="62" spans="5:18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</row>
    <row r="63" spans="5:18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</row>
    <row r="64" spans="5:18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</row>
    <row r="65" spans="5:18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</row>
    <row r="66" spans="5:18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</row>
    <row r="67" spans="5:18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</row>
    <row r="68" spans="5:18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</row>
    <row r="69" spans="5:18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</row>
    <row r="70" spans="5:18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</row>
    <row r="71" spans="5:18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</row>
    <row r="72" spans="5:18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</row>
    <row r="73" spans="5:18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</row>
    <row r="74" spans="5:18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</row>
    <row r="75" spans="5:18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</row>
    <row r="76" spans="5:18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</row>
    <row r="77" spans="5:18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</row>
    <row r="78" spans="5:18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</row>
    <row r="79" spans="5:18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</row>
    <row r="80" spans="5:18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</row>
    <row r="81" spans="5:18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</row>
    <row r="82" spans="5:18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</row>
    <row r="83" spans="5:18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</row>
    <row r="84" spans="5:18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</row>
    <row r="85" spans="5:18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</row>
    <row r="86" spans="5:18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</row>
    <row r="87" spans="5:18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</row>
    <row r="88" spans="5:18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</row>
    <row r="89" spans="5:18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</row>
    <row r="90" spans="5:18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</row>
    <row r="91" spans="5:18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</row>
    <row r="92" spans="5:18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</row>
    <row r="93" spans="5:18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</row>
    <row r="94" spans="5:18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</row>
    <row r="95" spans="5:18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</row>
    <row r="96" spans="5:18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</row>
    <row r="97" spans="5:18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</row>
    <row r="98" spans="5:18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</row>
    <row r="99" spans="5:18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</row>
    <row r="100" spans="5:18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</row>
    <row r="101" spans="5:18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</row>
    <row r="102" spans="5:18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</row>
    <row r="103" spans="5:18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</row>
    <row r="104" spans="5:18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</row>
    <row r="105" spans="5:18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</row>
    <row r="106" spans="5:18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</row>
    <row r="107" spans="5:18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</row>
    <row r="108" spans="5:18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</row>
    <row r="109" spans="5:18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</row>
    <row r="110" spans="5:18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</row>
    <row r="111" spans="5:18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</row>
    <row r="112" spans="5:18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</row>
    <row r="113" spans="5:18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</row>
    <row r="114" spans="5:18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</row>
    <row r="115" spans="5:18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</row>
    <row r="116" spans="5:18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</row>
    <row r="117" spans="5:18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</row>
    <row r="118" spans="5:18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</row>
    <row r="119" spans="5:18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</row>
    <row r="120" spans="5:18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</row>
    <row r="121" spans="5:18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</row>
    <row r="122" spans="5:18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</row>
    <row r="123" spans="5:18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</row>
    <row r="124" spans="5:18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</row>
    <row r="125" spans="5:18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</row>
    <row r="126" spans="5:18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</row>
    <row r="127" spans="5:18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</row>
    <row r="128" spans="5:18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</row>
    <row r="129" spans="5:18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</row>
    <row r="130" spans="5:18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</row>
    <row r="131" spans="5:18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</row>
    <row r="132" spans="5:18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</row>
    <row r="133" spans="5:18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</row>
    <row r="134" spans="5:18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</row>
    <row r="135" spans="5:18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</row>
    <row r="136" spans="5:18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</row>
    <row r="137" spans="5:18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</row>
    <row r="138" spans="5:18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</row>
    <row r="139" spans="5:18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</row>
    <row r="140" spans="5:18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</row>
    <row r="141" spans="5:18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</row>
    <row r="142" spans="5:18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</row>
    <row r="143" spans="5:18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</row>
    <row r="144" spans="5:18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</row>
    <row r="145" spans="5:18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</row>
    <row r="146" spans="5:18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</row>
    <row r="147" spans="5:18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</row>
    <row r="148" spans="5:18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</row>
    <row r="149" spans="5:18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</row>
    <row r="150" spans="5:18" s="18" customFormat="1" ht="15.75" customHeight="1">
      <c r="E150" s="21"/>
      <c r="F150" s="44"/>
      <c r="G150" s="27"/>
      <c r="J150"/>
      <c r="K150"/>
      <c r="L150"/>
      <c r="M150"/>
      <c r="N150"/>
      <c r="O150"/>
      <c r="P150"/>
      <c r="Q150"/>
      <c r="R150"/>
    </row>
    <row r="151" spans="5:18" s="18" customFormat="1" ht="15.75" customHeight="1">
      <c r="E151" s="21"/>
      <c r="F151" s="44"/>
      <c r="G151" s="27"/>
      <c r="J151"/>
      <c r="K151"/>
      <c r="L151"/>
      <c r="M151"/>
      <c r="N151"/>
      <c r="O151"/>
      <c r="P151"/>
      <c r="Q151"/>
      <c r="R151"/>
    </row>
    <row r="152" spans="5:18" s="18" customFormat="1" ht="15.75" customHeight="1">
      <c r="E152" s="21"/>
      <c r="F152" s="44"/>
      <c r="G152" s="27"/>
      <c r="J152"/>
      <c r="K152"/>
      <c r="L152"/>
      <c r="M152"/>
      <c r="N152"/>
      <c r="O152"/>
      <c r="P152"/>
      <c r="Q152"/>
      <c r="R152"/>
    </row>
    <row r="153" spans="5:18" s="18" customFormat="1" ht="15.75" customHeight="1">
      <c r="E153" s="21"/>
      <c r="F153" s="44"/>
      <c r="G153" s="27"/>
      <c r="J153"/>
      <c r="K153"/>
      <c r="L153"/>
      <c r="M153"/>
      <c r="N153"/>
      <c r="O153"/>
      <c r="P153"/>
      <c r="Q153"/>
      <c r="R153"/>
    </row>
  </sheetData>
  <autoFilter ref="A8:P25" xr:uid="{00000000-0009-0000-0000-000000000000}"/>
  <mergeCells count="53">
    <mergeCell ref="E25:F25"/>
    <mergeCell ref="N25:O25"/>
    <mergeCell ref="E26:F26"/>
    <mergeCell ref="G26:H26"/>
    <mergeCell ref="N26:O26"/>
    <mergeCell ref="E24:F24"/>
    <mergeCell ref="N24:O24"/>
    <mergeCell ref="E22:F22"/>
    <mergeCell ref="N22:O22"/>
    <mergeCell ref="E20:F20"/>
    <mergeCell ref="N20:O20"/>
    <mergeCell ref="E21:F21"/>
    <mergeCell ref="N21:O21"/>
    <mergeCell ref="E18:F18"/>
    <mergeCell ref="N18:O18"/>
    <mergeCell ref="E19:F19"/>
    <mergeCell ref="N19:O19"/>
    <mergeCell ref="E12:F12"/>
    <mergeCell ref="N12:O12"/>
    <mergeCell ref="E13:F13"/>
    <mergeCell ref="N13:O13"/>
    <mergeCell ref="E14:F14"/>
    <mergeCell ref="E15:F15"/>
    <mergeCell ref="E16:F16"/>
    <mergeCell ref="E17:F17"/>
    <mergeCell ref="E9:F9"/>
    <mergeCell ref="N9:O9"/>
    <mergeCell ref="E11:F11"/>
    <mergeCell ref="N11:O11"/>
    <mergeCell ref="B7:D7"/>
    <mergeCell ref="E7:I7"/>
    <mergeCell ref="J7:L7"/>
    <mergeCell ref="N7:P7"/>
    <mergeCell ref="E8:F8"/>
    <mergeCell ref="N8:O8"/>
    <mergeCell ref="E10:F10"/>
    <mergeCell ref="R2:R5"/>
    <mergeCell ref="C3:C5"/>
    <mergeCell ref="D3:D5"/>
    <mergeCell ref="F3:G3"/>
    <mergeCell ref="F4:G4"/>
    <mergeCell ref="F5:G5"/>
    <mergeCell ref="Q2:Q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</mergeCells>
  <phoneticPr fontId="13" type="noConversion"/>
  <conditionalFormatting sqref="A9:A25">
    <cfRule type="expression" dxfId="125" priority="3">
      <formula>M9 = "On Hold"</formula>
    </cfRule>
  </conditionalFormatting>
  <conditionalFormatting sqref="B2:B5 J9:P25">
    <cfRule type="cellIs" dxfId="124" priority="1" operator="equal">
      <formula>"Done"</formula>
    </cfRule>
    <cfRule type="cellIs" dxfId="123" priority="2" operator="equal">
      <formula>"On Hold"</formula>
    </cfRule>
    <cfRule type="cellIs" dxfId="122" priority="4" operator="equal">
      <formula>"Ready for Review"</formula>
    </cfRule>
    <cfRule type="cellIs" dxfId="121" priority="5" operator="equal">
      <formula>"In Review"</formula>
    </cfRule>
  </conditionalFormatting>
  <dataValidations count="7">
    <dataValidation type="list" allowBlank="1" showErrorMessage="1" sqref="B2" xr:uid="{477AC1D5-60F0-4708-B6DB-9C6BDB58E437}">
      <formula1>STT_Statuses</formula1>
    </dataValidation>
    <dataValidation type="list" allowBlank="1" sqref="B4:B5" xr:uid="{512C54FA-4DDC-4461-A875-A3E63EFF16A1}">
      <formula1>ETL_Statuses</formula1>
    </dataValidation>
    <dataValidation type="list" allowBlank="1" sqref="B3 M9:M25" xr:uid="{A86075BF-C589-4E3D-A167-6541B6785EDD}">
      <formula1>Statuses</formula1>
    </dataValidation>
    <dataValidation type="list" allowBlank="1" sqref="N9:N25" xr:uid="{D5BED0BE-595B-46BD-9D94-35B4910023F1}">
      <formula1>Categories</formula1>
    </dataValidation>
    <dataValidation type="list" allowBlank="1" sqref="P9:P25" xr:uid="{297C5830-5951-437F-80B8-EEF6F1B66238}">
      <formula1>Versions</formula1>
    </dataValidation>
    <dataValidation type="list" allowBlank="1" sqref="E9:E25" xr:uid="{DC491E42-8EA2-4136-A535-40C507E7605C}">
      <formula1>Sources</formula1>
    </dataValidation>
    <dataValidation type="list" allowBlank="1" sqref="B9:B25" xr:uid="{A25B46E1-6E61-4721-AA50-7D28BFB75C1C}">
      <formula1>Data_Types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F435-51AC-4694-A265-C89AC2930E5D}">
  <sheetPr>
    <tabColor theme="7"/>
    <outlinePr summaryBelow="0" summaryRight="0"/>
  </sheetPr>
  <dimension ref="A1:O146"/>
  <sheetViews>
    <sheetView zoomScale="90" zoomScaleNormal="90" workbookViewId="0">
      <pane xSplit="1" ySplit="8" topLeftCell="B20" activePane="bottomRight" state="frozen"/>
      <selection pane="bottomRight" activeCell="C28" sqref="C28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26.140625" style="18" customWidth="1"/>
    <col min="2" max="2" width="16.28515625" style="18" customWidth="1" outlineLevel="1"/>
    <col min="3" max="3" width="7" style="18" customWidth="1" outlineLevel="1"/>
    <col min="4" max="4" width="23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26.85546875" style="18" customWidth="1" outlineLevel="1"/>
    <col min="9" max="9" width="14.42578125" style="18" customWidth="1" outlineLevel="1"/>
    <col min="10" max="10" width="2.28515625" customWidth="1"/>
    <col min="11" max="11" width="2.28515625" customWidth="1" collapsed="1"/>
    <col min="12" max="12" width="10.7109375" hidden="1" customWidth="1" outlineLevel="1"/>
    <col min="13" max="13" width="11" hidden="1" customWidth="1" outlineLevel="1"/>
    <col min="14" max="14" width="51.140625" customWidth="1"/>
    <col min="15" max="15" width="48.42578125" customWidth="1"/>
  </cols>
  <sheetData>
    <row r="1" spans="1:15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157"/>
      <c r="L1" s="226"/>
      <c r="M1" s="226"/>
    </row>
    <row r="2" spans="1:15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60" t="s">
        <v>66</v>
      </c>
      <c r="K2" s="161" t="s">
        <v>67</v>
      </c>
      <c r="L2" s="162"/>
      <c r="M2" s="228"/>
      <c r="N2" s="222" t="s">
        <v>68</v>
      </c>
      <c r="O2" s="229" t="s">
        <v>69</v>
      </c>
    </row>
    <row r="3" spans="1:15" ht="15.75" customHeight="1" outlineLevel="1">
      <c r="A3" s="29" t="s">
        <v>8</v>
      </c>
      <c r="B3" s="29"/>
      <c r="C3" s="146"/>
      <c r="D3" s="147" t="s">
        <v>345</v>
      </c>
      <c r="E3" s="148"/>
      <c r="F3" s="150" t="s">
        <v>346</v>
      </c>
      <c r="G3" s="151"/>
      <c r="H3" s="19" t="s">
        <v>11</v>
      </c>
      <c r="I3" s="20"/>
      <c r="J3" s="232"/>
      <c r="K3" s="232"/>
      <c r="L3" s="230"/>
      <c r="M3" s="231"/>
      <c r="N3" s="222"/>
      <c r="O3" s="229"/>
    </row>
    <row r="4" spans="1:15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2"/>
      <c r="K4" s="232"/>
      <c r="L4" s="230"/>
      <c r="M4" s="231"/>
      <c r="N4" s="222"/>
      <c r="O4" s="229"/>
    </row>
    <row r="5" spans="1:15" ht="15.75" customHeight="1" outlineLevel="1">
      <c r="A5" s="29" t="s">
        <v>15</v>
      </c>
      <c r="B5" s="29"/>
      <c r="C5" s="146"/>
      <c r="D5" s="149"/>
      <c r="E5" s="148"/>
      <c r="F5" s="150" t="s">
        <v>312</v>
      </c>
      <c r="G5" s="151"/>
      <c r="H5" s="19" t="s">
        <v>17</v>
      </c>
      <c r="I5" s="20"/>
      <c r="J5" s="232"/>
      <c r="K5" s="232"/>
      <c r="L5" s="230"/>
      <c r="M5" s="231"/>
      <c r="N5" s="223"/>
      <c r="O5" s="233"/>
    </row>
    <row r="6" spans="1:15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7"/>
      <c r="K6" s="237"/>
      <c r="L6" s="234"/>
      <c r="M6" s="236"/>
      <c r="N6" s="10" t="s">
        <v>19</v>
      </c>
      <c r="O6" s="10" t="s">
        <v>19</v>
      </c>
    </row>
    <row r="7" spans="1:15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53" t="s">
        <v>72</v>
      </c>
      <c r="K7" s="167" t="s">
        <v>73</v>
      </c>
      <c r="L7" s="238"/>
      <c r="M7" s="239"/>
      <c r="N7" s="11" t="e">
        <f ca="1">"CREATE OR REPLACE TABLE " &amp; GetSheetName()</f>
        <v>#NAME?</v>
      </c>
      <c r="O7" s="11" t="e">
        <f ca="1">"CREATE OR REPLACE TABLE " &amp; GetSheetName()</f>
        <v>#NAME?</v>
      </c>
    </row>
    <row r="8" spans="1:15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2" t="s">
        <v>74</v>
      </c>
      <c r="K8" s="240" t="s">
        <v>75</v>
      </c>
      <c r="L8" s="239"/>
      <c r="M8" s="13" t="s">
        <v>76</v>
      </c>
      <c r="N8" s="14" t="str">
        <f>"("</f>
        <v>(</v>
      </c>
      <c r="O8" s="14" t="str">
        <f>"("</f>
        <v>(</v>
      </c>
    </row>
    <row r="9" spans="1:15" ht="15.75" customHeight="1" outlineLevel="1">
      <c r="A9" s="37" t="s">
        <v>56</v>
      </c>
      <c r="B9" s="34" t="s">
        <v>111</v>
      </c>
      <c r="C9" s="36" t="e" vm="2">
        <f>C6</f>
        <v>#VALUE!</v>
      </c>
      <c r="D9" s="16" t="s">
        <v>347</v>
      </c>
      <c r="E9" s="168" t="s">
        <v>312</v>
      </c>
      <c r="F9" s="169"/>
      <c r="G9" s="17" t="s">
        <v>345</v>
      </c>
      <c r="H9" s="17" t="s">
        <v>348</v>
      </c>
      <c r="I9" s="23"/>
      <c r="J9" s="49"/>
      <c r="K9" s="240" t="s">
        <v>82</v>
      </c>
      <c r="L9" s="241"/>
      <c r="M9" s="13" t="s">
        <v>83</v>
      </c>
      <c r="N9" s="14" t="str">
        <f>CONCATENATE($N$2,H9,$O$2,A9,$N$2,",")</f>
        <v>"new_t_societynumber": "society_id",</v>
      </c>
      <c r="O9" s="14" t="str">
        <f>CONCATENATE($N$2,A9,$O$2,B9,$N$2,",")</f>
        <v>"society_id": "Int64",</v>
      </c>
    </row>
    <row r="10" spans="1:15" ht="15.75" customHeight="1" outlineLevel="1">
      <c r="A10" s="37" t="s">
        <v>349</v>
      </c>
      <c r="B10" s="34" t="s">
        <v>78</v>
      </c>
      <c r="C10" s="36" t="e" vm="1">
        <v>#VALUE!</v>
      </c>
      <c r="D10" s="16" t="s">
        <v>350</v>
      </c>
      <c r="E10" s="168" t="s">
        <v>312</v>
      </c>
      <c r="F10" s="169"/>
      <c r="G10" s="17" t="s">
        <v>345</v>
      </c>
      <c r="H10" s="17" t="s">
        <v>351</v>
      </c>
      <c r="I10" s="23"/>
      <c r="J10" s="49"/>
      <c r="K10" s="42"/>
      <c r="L10" s="43"/>
      <c r="M10" s="13"/>
      <c r="N10" s="14" t="str">
        <f t="shared" ref="N10:N18" si="0">CONCATENATE($N$2,H10,$O$2,A10,$N$2,",")</f>
        <v>"new_societyid": "society_code",</v>
      </c>
      <c r="O10" s="14" t="str">
        <f t="shared" ref="O10:O18" si="1">CONCATENATE($N$2,A10,$O$2,B10,$N$2,",")</f>
        <v>"society_code": "string",</v>
      </c>
    </row>
    <row r="11" spans="1:15" ht="15.75" customHeight="1" outlineLevel="1">
      <c r="A11" s="37" t="s">
        <v>352</v>
      </c>
      <c r="B11" s="34" t="s">
        <v>78</v>
      </c>
      <c r="C11" s="36"/>
      <c r="D11" s="16" t="s">
        <v>353</v>
      </c>
      <c r="E11" s="168" t="s">
        <v>312</v>
      </c>
      <c r="F11" s="169"/>
      <c r="G11" s="17" t="s">
        <v>345</v>
      </c>
      <c r="H11" s="17" t="s">
        <v>354</v>
      </c>
      <c r="I11" s="17"/>
      <c r="J11" s="49"/>
      <c r="K11" s="240"/>
      <c r="L11" s="241"/>
      <c r="M11" s="13"/>
      <c r="N11" s="14" t="str">
        <f t="shared" si="0"/>
        <v>"new_t_society_name": "society_name",</v>
      </c>
      <c r="O11" s="14" t="str">
        <f t="shared" si="1"/>
        <v>"society_name": "string",</v>
      </c>
    </row>
    <row r="12" spans="1:15" ht="15.75" customHeight="1" outlineLevel="1">
      <c r="A12" s="37" t="s">
        <v>355</v>
      </c>
      <c r="B12" s="34" t="s">
        <v>78</v>
      </c>
      <c r="C12" s="36"/>
      <c r="D12" s="16" t="s">
        <v>356</v>
      </c>
      <c r="E12" s="168" t="s">
        <v>312</v>
      </c>
      <c r="F12" s="169"/>
      <c r="G12" s="17" t="s">
        <v>345</v>
      </c>
      <c r="H12" s="17" t="s">
        <v>357</v>
      </c>
      <c r="I12" s="48"/>
      <c r="J12" s="49"/>
      <c r="K12" s="42"/>
      <c r="L12" s="43"/>
      <c r="M12" s="13"/>
      <c r="N12" s="14" t="str">
        <f t="shared" si="0"/>
        <v>"_new_id_localauthority_value": "authority_code",</v>
      </c>
      <c r="O12" s="14" t="str">
        <f t="shared" si="1"/>
        <v>"authority_code": "string",</v>
      </c>
    </row>
    <row r="13" spans="1:15" ht="15.75" customHeight="1" outlineLevel="1">
      <c r="A13" s="37" t="s">
        <v>87</v>
      </c>
      <c r="B13" s="34" t="s">
        <v>78</v>
      </c>
      <c r="C13" s="36"/>
      <c r="D13" s="16" t="s">
        <v>358</v>
      </c>
      <c r="E13" s="168" t="s">
        <v>312</v>
      </c>
      <c r="F13" s="169"/>
      <c r="G13" s="17" t="s">
        <v>345</v>
      </c>
      <c r="H13" s="22" t="s">
        <v>359</v>
      </c>
      <c r="I13" s="48"/>
      <c r="J13" s="49"/>
      <c r="K13" s="42"/>
      <c r="L13" s="43"/>
      <c r="M13" s="13"/>
      <c r="N13" s="14" t="str">
        <f t="shared" si="0"/>
        <v>"_new_id_localauthority_value_label": "authority_name",</v>
      </c>
      <c r="O13" s="14" t="str">
        <f t="shared" si="1"/>
        <v>"authority_name": "string",</v>
      </c>
    </row>
    <row r="14" spans="1:15" ht="15.75" customHeight="1" outlineLevel="1">
      <c r="A14" s="37" t="s">
        <v>335</v>
      </c>
      <c r="B14" s="34" t="s">
        <v>111</v>
      </c>
      <c r="C14" s="36"/>
      <c r="D14" s="34" t="s">
        <v>336</v>
      </c>
      <c r="E14" s="168" t="s">
        <v>312</v>
      </c>
      <c r="F14" s="169"/>
      <c r="G14" s="17" t="s">
        <v>345</v>
      </c>
      <c r="H14" s="17" t="s">
        <v>337</v>
      </c>
      <c r="I14" s="23"/>
      <c r="J14" s="49"/>
      <c r="K14" s="240"/>
      <c r="L14" s="241"/>
      <c r="M14" s="13"/>
      <c r="N14" s="14" t="str">
        <f t="shared" si="0"/>
        <v>"statecode": "is_inactive",</v>
      </c>
      <c r="O14" s="14" t="str">
        <f t="shared" si="1"/>
        <v>"is_inactive": "Int64",</v>
      </c>
    </row>
    <row r="15" spans="1:15" ht="14.45" outlineLevel="1">
      <c r="A15" s="37" t="s">
        <v>338</v>
      </c>
      <c r="B15" s="34" t="s">
        <v>111</v>
      </c>
      <c r="C15" s="36"/>
      <c r="D15" s="34" t="s">
        <v>340</v>
      </c>
      <c r="E15" s="168" t="s">
        <v>312</v>
      </c>
      <c r="F15" s="169"/>
      <c r="G15" s="17" t="s">
        <v>345</v>
      </c>
      <c r="H15" s="22" t="s">
        <v>341</v>
      </c>
      <c r="I15" s="23"/>
      <c r="J15" s="49"/>
      <c r="K15" s="240"/>
      <c r="L15" s="241"/>
      <c r="M15" s="13"/>
      <c r="N15" s="14" t="str">
        <f t="shared" si="0"/>
        <v>"statuscode": "status_code",</v>
      </c>
      <c r="O15" s="14" t="str">
        <f t="shared" si="1"/>
        <v>"status_code": "Int64",</v>
      </c>
    </row>
    <row r="16" spans="1:15" ht="15.75" customHeight="1" outlineLevel="1">
      <c r="A16" s="37" t="s">
        <v>342</v>
      </c>
      <c r="B16" s="34" t="s">
        <v>239</v>
      </c>
      <c r="C16" s="36"/>
      <c r="D16" s="34" t="s">
        <v>343</v>
      </c>
      <c r="E16" s="168" t="s">
        <v>312</v>
      </c>
      <c r="F16" s="169"/>
      <c r="G16" s="17" t="s">
        <v>345</v>
      </c>
      <c r="H16" s="17" t="s">
        <v>344</v>
      </c>
      <c r="I16" s="23"/>
      <c r="J16" s="49"/>
      <c r="K16" s="240"/>
      <c r="L16" s="241"/>
      <c r="M16" s="13"/>
      <c r="N16" s="14" t="str">
        <f t="shared" si="0"/>
        <v>"modifiedon": "modified_on_date",</v>
      </c>
      <c r="O16" s="14" t="str">
        <f t="shared" si="1"/>
        <v>"modified_on_date": "datetime",</v>
      </c>
    </row>
    <row r="17" spans="1:15" ht="15.75" customHeight="1" outlineLevel="1">
      <c r="A17" s="37"/>
      <c r="B17" s="34"/>
      <c r="C17" s="36"/>
      <c r="D17" s="15"/>
      <c r="E17" s="46"/>
      <c r="F17" s="47"/>
      <c r="G17" s="17"/>
      <c r="H17" s="22"/>
      <c r="I17" s="23"/>
      <c r="J17" s="49"/>
      <c r="K17" s="42"/>
      <c r="L17" s="43"/>
      <c r="M17" s="13"/>
      <c r="N17" s="14" t="str">
        <f t="shared" si="0"/>
        <v>"": "",</v>
      </c>
      <c r="O17" s="14" t="str">
        <f t="shared" si="1"/>
        <v>"": "",</v>
      </c>
    </row>
    <row r="18" spans="1:15" ht="15.75" customHeight="1" outlineLevel="1">
      <c r="A18" s="38" t="s">
        <v>64</v>
      </c>
      <c r="B18" s="39"/>
      <c r="C18" s="40"/>
      <c r="D18" s="9"/>
      <c r="E18" s="168"/>
      <c r="F18" s="169"/>
      <c r="G18" s="17"/>
      <c r="H18" s="25"/>
      <c r="I18" s="24"/>
      <c r="J18" s="49"/>
      <c r="K18" s="242"/>
      <c r="L18" s="243"/>
      <c r="M18" s="4"/>
      <c r="N18" s="14" t="str">
        <f t="shared" si="0"/>
        <v>"": "Leave Empty",</v>
      </c>
      <c r="O18" s="14" t="str">
        <f t="shared" si="1"/>
        <v>"Leave Empty": "",</v>
      </c>
    </row>
    <row r="19" spans="1:15" ht="15.75" customHeight="1">
      <c r="E19" s="170"/>
      <c r="F19" s="146"/>
      <c r="G19" s="171"/>
      <c r="H19" s="155"/>
      <c r="I19" s="26"/>
      <c r="K19" s="226"/>
      <c r="L19" s="226"/>
      <c r="N19" s="5" t="s">
        <v>178</v>
      </c>
      <c r="O19" s="5" t="s">
        <v>178</v>
      </c>
    </row>
    <row r="20" spans="1:15" ht="15.75" customHeight="1"/>
    <row r="21" spans="1:15" ht="15.75" customHeight="1"/>
    <row r="22" spans="1:15" ht="15.75" customHeight="1"/>
    <row r="23" spans="1:15" ht="15.75" customHeight="1"/>
    <row r="24" spans="1:15" ht="15.75" customHeight="1"/>
    <row r="25" spans="1:15" ht="15.75" customHeight="1"/>
    <row r="26" spans="1:15" ht="15.75" customHeight="1"/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</sheetData>
  <autoFilter ref="A8:M18" xr:uid="{00000000-0009-0000-0000-000000000000}"/>
  <mergeCells count="39">
    <mergeCell ref="B1:D1"/>
    <mergeCell ref="E1:I1"/>
    <mergeCell ref="K1:M1"/>
    <mergeCell ref="B7:D7"/>
    <mergeCell ref="E7:I7"/>
    <mergeCell ref="K7:M7"/>
    <mergeCell ref="E8:F8"/>
    <mergeCell ref="K8:L8"/>
    <mergeCell ref="O2:O5"/>
    <mergeCell ref="C3:C5"/>
    <mergeCell ref="D3:D5"/>
    <mergeCell ref="F3:G3"/>
    <mergeCell ref="F4:G4"/>
    <mergeCell ref="F5:G5"/>
    <mergeCell ref="J2:J6"/>
    <mergeCell ref="K2:K6"/>
    <mergeCell ref="L2:M6"/>
    <mergeCell ref="E2:E6"/>
    <mergeCell ref="F2:G2"/>
    <mergeCell ref="F6:I6"/>
    <mergeCell ref="N2:N5"/>
    <mergeCell ref="E9:F9"/>
    <mergeCell ref="K9:L9"/>
    <mergeCell ref="E15:F15"/>
    <mergeCell ref="K15:L15"/>
    <mergeCell ref="E14:F14"/>
    <mergeCell ref="K14:L14"/>
    <mergeCell ref="E11:F11"/>
    <mergeCell ref="K11:L11"/>
    <mergeCell ref="E13:F13"/>
    <mergeCell ref="E12:F12"/>
    <mergeCell ref="E10:F10"/>
    <mergeCell ref="E16:F16"/>
    <mergeCell ref="K16:L16"/>
    <mergeCell ref="E18:F18"/>
    <mergeCell ref="K18:L18"/>
    <mergeCell ref="K19:L19"/>
    <mergeCell ref="E19:F19"/>
    <mergeCell ref="G19:H19"/>
  </mergeCells>
  <conditionalFormatting sqref="A9:A13 A17:A18">
    <cfRule type="expression" dxfId="120" priority="6">
      <formula>J9 = "On Hold"</formula>
    </cfRule>
  </conditionalFormatting>
  <conditionalFormatting sqref="A14:A16">
    <cfRule type="expression" dxfId="119" priority="1">
      <formula>M14 = "On Hold"</formula>
    </cfRule>
  </conditionalFormatting>
  <conditionalFormatting sqref="B2:B5 J9:M18">
    <cfRule type="cellIs" dxfId="118" priority="4" operator="equal">
      <formula>"Done"</formula>
    </cfRule>
    <cfRule type="cellIs" dxfId="117" priority="5" operator="equal">
      <formula>"On Hold"</formula>
    </cfRule>
    <cfRule type="cellIs" dxfId="116" priority="7" operator="equal">
      <formula>"Ready for Review"</formula>
    </cfRule>
    <cfRule type="cellIs" dxfId="115" priority="8" operator="equal">
      <formula>"In Review"</formula>
    </cfRule>
  </conditionalFormatting>
  <dataValidations count="7">
    <dataValidation type="list" allowBlank="1" sqref="B3 J9:J18" xr:uid="{3536A609-AF57-4059-91FF-B3435C4D0774}">
      <formula1>Statuses</formula1>
    </dataValidation>
    <dataValidation type="list" allowBlank="1" sqref="B4:B5" xr:uid="{0AFFA6AB-7B13-4FB4-8562-B052B1E72E2F}">
      <formula1>ETL_Statuses</formula1>
    </dataValidation>
    <dataValidation type="list" allowBlank="1" showErrorMessage="1" sqref="B2" xr:uid="{172B6FFA-E859-4F9D-AFCA-B4E8D0EDA062}">
      <formula1>STT_Statuses</formula1>
    </dataValidation>
    <dataValidation type="list" allowBlank="1" sqref="B9:B18" xr:uid="{9AE218D2-F8E5-492E-AF2A-E06950039D61}">
      <formula1>Data_Types</formula1>
    </dataValidation>
    <dataValidation type="list" allowBlank="1" sqref="E9:E18" xr:uid="{FF632B05-3A1A-4945-8E45-273D32214003}">
      <formula1>Sources</formula1>
    </dataValidation>
    <dataValidation type="list" allowBlank="1" sqref="M9:M18" xr:uid="{9CF8BA4E-63AB-4124-A748-D8A88E72CE57}">
      <formula1>Versions</formula1>
    </dataValidation>
    <dataValidation type="list" allowBlank="1" sqref="K9:K18" xr:uid="{A9E94411-3E93-43E7-AD07-C94CD0714F23}">
      <formula1>Categories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077A-F103-4ACF-A5B8-F3B98B2D2772}">
  <sheetPr>
    <tabColor rgb="FF00B050"/>
    <outlinePr summaryBelow="0" summaryRight="0"/>
  </sheetPr>
  <dimension ref="A1:R156"/>
  <sheetViews>
    <sheetView workbookViewId="0">
      <pane xSplit="1" ySplit="8" topLeftCell="H9" activePane="bottomRight" state="frozen"/>
      <selection pane="bottomRight" activeCell="M13" sqref="M13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0.140625" customWidth="1" outlineLevel="1"/>
    <col min="13" max="13" width="10.710937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360</v>
      </c>
      <c r="E3" s="148"/>
      <c r="F3" s="150" t="s">
        <v>361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/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43</v>
      </c>
      <c r="B9" s="55" t="s">
        <v>111</v>
      </c>
      <c r="C9" s="36" t="e" vm="1">
        <v>#VALUE!</v>
      </c>
      <c r="D9" s="34" t="s">
        <v>363</v>
      </c>
      <c r="E9" s="168" t="s">
        <v>312</v>
      </c>
      <c r="F9" s="169"/>
      <c r="G9" s="17" t="s">
        <v>360</v>
      </c>
      <c r="H9" s="17" t="s">
        <v>364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"new_i_branchuniq": "branch_id",</v>
      </c>
      <c r="R9" s="14" t="str">
        <f>CONCATENATE($Q$2,A9,$R$2,B9,$Q$2,",")</f>
        <v>"branch_id": "Int64",</v>
      </c>
    </row>
    <row r="10" spans="1:18" ht="15.75" customHeight="1" outlineLevel="1">
      <c r="A10" s="37" t="s">
        <v>365</v>
      </c>
      <c r="B10" s="34" t="s">
        <v>78</v>
      </c>
      <c r="C10" s="36" t="e" vm="1">
        <v>#VALUE!</v>
      </c>
      <c r="D10" s="34" t="s">
        <v>366</v>
      </c>
      <c r="E10" s="168" t="s">
        <v>312</v>
      </c>
      <c r="F10" s="169"/>
      <c r="G10" s="17" t="s">
        <v>360</v>
      </c>
      <c r="H10" s="17" t="s">
        <v>367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29" si="0">CONCATENATE($Q$2,H10,$R$2,A10,$Q$2,",")</f>
        <v>"new_branchid": "branch_code",</v>
      </c>
      <c r="R10" s="14" t="str">
        <f t="shared" ref="R10:R29" si="1">CONCATENATE($Q$2,A10,$R$2,B10,$Q$2,",")</f>
        <v>"branch_code": "string",</v>
      </c>
    </row>
    <row r="11" spans="1:18" ht="15.75" customHeight="1" outlineLevel="1">
      <c r="A11" s="37" t="s">
        <v>39</v>
      </c>
      <c r="B11" s="34" t="s">
        <v>78</v>
      </c>
      <c r="C11" s="36"/>
      <c r="D11" s="16" t="s">
        <v>368</v>
      </c>
      <c r="E11" s="168" t="s">
        <v>312</v>
      </c>
      <c r="F11" s="169"/>
      <c r="G11" s="17" t="s">
        <v>360</v>
      </c>
      <c r="H11" s="22" t="s">
        <v>369</v>
      </c>
      <c r="I11" s="17"/>
      <c r="J11" s="41"/>
      <c r="K11" s="12"/>
      <c r="L11" s="12"/>
      <c r="M11" s="49"/>
      <c r="N11" s="240"/>
      <c r="O11" s="241"/>
      <c r="P11" s="13"/>
      <c r="Q11" s="14" t="str">
        <f t="shared" si="0"/>
        <v>"new_name": "branch_name",</v>
      </c>
      <c r="R11" s="14" t="str">
        <f t="shared" si="1"/>
        <v>"branch_name": "string",</v>
      </c>
    </row>
    <row r="12" spans="1:18" ht="15.75" customHeight="1" outlineLevel="1">
      <c r="A12" s="37" t="s">
        <v>370</v>
      </c>
      <c r="B12" s="55" t="s">
        <v>111</v>
      </c>
      <c r="C12" s="36"/>
      <c r="D12" s="34" t="s">
        <v>371</v>
      </c>
      <c r="E12" s="168" t="s">
        <v>312</v>
      </c>
      <c r="F12" s="169"/>
      <c r="G12" s="17" t="s">
        <v>360</v>
      </c>
      <c r="H12" s="17" t="s">
        <v>372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"new_b_upperbranch": "is_upper_branch",</v>
      </c>
      <c r="R12" s="14" t="str">
        <f t="shared" si="1"/>
        <v>"is_upper_branch": "Int64",</v>
      </c>
    </row>
    <row r="13" spans="1:18" ht="15.75" customHeight="1" outlineLevel="1">
      <c r="A13" s="37" t="s">
        <v>373</v>
      </c>
      <c r="B13" s="34" t="s">
        <v>78</v>
      </c>
      <c r="C13" s="36"/>
      <c r="D13" s="34" t="s">
        <v>374</v>
      </c>
      <c r="E13" s="168" t="s">
        <v>312</v>
      </c>
      <c r="F13" s="169"/>
      <c r="G13" s="17" t="s">
        <v>360</v>
      </c>
      <c r="H13" s="17" t="s">
        <v>375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"new_pl_branch_type_label": "personal_or_group",</v>
      </c>
      <c r="R13" s="14" t="str">
        <f t="shared" si="1"/>
        <v>"personal_or_group": "string",</v>
      </c>
    </row>
    <row r="14" spans="1:18" ht="15.75" customHeight="1" outlineLevel="1">
      <c r="A14" s="37" t="s">
        <v>376</v>
      </c>
      <c r="B14" s="55" t="s">
        <v>111</v>
      </c>
      <c r="C14" s="36"/>
      <c r="D14" s="34" t="s">
        <v>377</v>
      </c>
      <c r="E14" s="168" t="s">
        <v>312</v>
      </c>
      <c r="F14" s="169"/>
      <c r="G14" s="17" t="s">
        <v>360</v>
      </c>
      <c r="H14" s="17" t="s">
        <v>378</v>
      </c>
      <c r="I14" s="23"/>
      <c r="J14" s="41"/>
      <c r="K14" s="12"/>
      <c r="L14" s="12"/>
      <c r="M14" s="49"/>
      <c r="N14" s="240"/>
      <c r="O14" s="241"/>
      <c r="P14" s="13"/>
      <c r="Q14" s="14" t="str">
        <f t="shared" si="0"/>
        <v>"new_b_thinkingbranch": "is_thinking_branch",</v>
      </c>
      <c r="R14" s="14" t="str">
        <f t="shared" si="1"/>
        <v>"is_thinking_branch": "Int64",</v>
      </c>
    </row>
    <row r="15" spans="1:18" ht="15.75" customHeight="1" outlineLevel="1">
      <c r="A15" s="37" t="s">
        <v>379</v>
      </c>
      <c r="B15" s="55" t="s">
        <v>111</v>
      </c>
      <c r="C15" s="36"/>
      <c r="D15" s="16" t="s">
        <v>380</v>
      </c>
      <c r="E15" s="168" t="s">
        <v>312</v>
      </c>
      <c r="F15" s="169"/>
      <c r="G15" s="17" t="s">
        <v>360</v>
      </c>
      <c r="H15" s="17" t="s">
        <v>381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"new_b_subbranch": "is_sub_branch",</v>
      </c>
      <c r="R15" s="14" t="str">
        <f t="shared" si="1"/>
        <v>"is_sub_branch": "Int64",</v>
      </c>
    </row>
    <row r="16" spans="1:18" ht="15.75" customHeight="1" outlineLevel="1">
      <c r="A16" s="37" t="s">
        <v>382</v>
      </c>
      <c r="B16" s="34" t="s">
        <v>78</v>
      </c>
      <c r="C16" s="36"/>
      <c r="D16" s="16" t="s">
        <v>383</v>
      </c>
      <c r="E16" s="168" t="s">
        <v>312</v>
      </c>
      <c r="F16" s="169"/>
      <c r="G16" s="17" t="s">
        <v>360</v>
      </c>
      <c r="H16" s="17" t="s">
        <v>384</v>
      </c>
      <c r="I16" s="23"/>
      <c r="J16" s="41"/>
      <c r="K16" s="12"/>
      <c r="L16" s="12"/>
      <c r="M16" s="49"/>
      <c r="N16" s="240"/>
      <c r="O16" s="241"/>
      <c r="P16" s="13"/>
      <c r="Q16" s="14" t="str">
        <f t="shared" si="0"/>
        <v>"new_pl_sporttype_label": "sport_type",</v>
      </c>
      <c r="R16" s="14" t="str">
        <f t="shared" si="1"/>
        <v>"sport_type": "string",</v>
      </c>
    </row>
    <row r="17" spans="1:18" ht="15.75" customHeight="1" outlineLevel="1">
      <c r="A17" s="37" t="s">
        <v>385</v>
      </c>
      <c r="B17" s="55" t="s">
        <v>111</v>
      </c>
      <c r="C17" s="36"/>
      <c r="D17" s="34" t="s">
        <v>386</v>
      </c>
      <c r="E17" s="168" t="s">
        <v>312</v>
      </c>
      <c r="F17" s="169"/>
      <c r="G17" s="17" t="s">
        <v>360</v>
      </c>
      <c r="H17" s="22" t="s">
        <v>387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"new_b_favoritebranch": "is_favorite_branch",</v>
      </c>
      <c r="R17" s="14" t="str">
        <f t="shared" si="1"/>
        <v>"is_favorite_branch": "Int64",</v>
      </c>
    </row>
    <row r="18" spans="1:18" ht="15.75" customHeight="1" outlineLevel="1">
      <c r="A18" s="37" t="s">
        <v>388</v>
      </c>
      <c r="B18" s="55" t="s">
        <v>111</v>
      </c>
      <c r="C18" s="36"/>
      <c r="D18" s="16" t="s">
        <v>389</v>
      </c>
      <c r="E18" s="168" t="s">
        <v>312</v>
      </c>
      <c r="F18" s="169"/>
      <c r="G18" s="17" t="s">
        <v>360</v>
      </c>
      <c r="H18" s="22" t="s">
        <v>390</v>
      </c>
      <c r="I18" s="23"/>
      <c r="J18" s="41"/>
      <c r="K18" s="12"/>
      <c r="L18" s="12"/>
      <c r="M18" s="49"/>
      <c r="N18" s="240"/>
      <c r="O18" s="241"/>
      <c r="P18" s="13"/>
      <c r="Q18" s="14" t="str">
        <f t="shared" si="0"/>
        <v>"new_b_olympic": "is_olympic_branch",</v>
      </c>
      <c r="R18" s="14" t="str">
        <f t="shared" si="1"/>
        <v>"is_olympic_branch": "Int64",</v>
      </c>
    </row>
    <row r="19" spans="1:18" ht="15.75" customHeight="1" outlineLevel="1">
      <c r="A19" s="37" t="s">
        <v>391</v>
      </c>
      <c r="B19" s="55" t="s">
        <v>111</v>
      </c>
      <c r="C19" s="36"/>
      <c r="D19" s="34" t="s">
        <v>392</v>
      </c>
      <c r="E19" s="168" t="s">
        <v>312</v>
      </c>
      <c r="F19" s="169"/>
      <c r="G19" s="17" t="s">
        <v>360</v>
      </c>
      <c r="H19" s="22" t="s">
        <v>393</v>
      </c>
      <c r="I19" s="23"/>
      <c r="J19" s="41"/>
      <c r="K19" s="12"/>
      <c r="L19" s="12"/>
      <c r="M19" s="49"/>
      <c r="N19" s="240"/>
      <c r="O19" s="241"/>
      <c r="P19" s="13"/>
      <c r="Q19" s="14" t="str">
        <f t="shared" si="0"/>
        <v>"new_b_branchwithspecialneeds": "is_special_needs_branch",</v>
      </c>
      <c r="R19" s="14" t="str">
        <f t="shared" si="1"/>
        <v>"is_special_needs_branch": "Int64",</v>
      </c>
    </row>
    <row r="20" spans="1:18" ht="15.75" customHeight="1" outlineLevel="1">
      <c r="A20" s="37" t="s">
        <v>329</v>
      </c>
      <c r="B20" s="34" t="s">
        <v>78</v>
      </c>
      <c r="C20" s="36"/>
      <c r="D20" s="34" t="s">
        <v>394</v>
      </c>
      <c r="E20" s="168" t="s">
        <v>312</v>
      </c>
      <c r="F20" s="169"/>
      <c r="G20" s="17" t="s">
        <v>360</v>
      </c>
      <c r="H20" s="22" t="s">
        <v>331</v>
      </c>
      <c r="I20" s="23"/>
      <c r="J20" s="41"/>
      <c r="K20" s="12"/>
      <c r="L20" s="12"/>
      <c r="M20" s="49"/>
      <c r="N20" s="42"/>
      <c r="O20" s="43"/>
      <c r="P20" s="13"/>
      <c r="Q20" s="14" t="str">
        <f t="shared" si="0"/>
        <v>"_new_id_mainbranch_value_label": "main_branch_name",</v>
      </c>
      <c r="R20" s="14" t="str">
        <f t="shared" si="1"/>
        <v>"main_branch_name": "string",</v>
      </c>
    </row>
    <row r="21" spans="1:18" ht="15.75" customHeight="1" outlineLevel="1">
      <c r="A21" s="37" t="s">
        <v>332</v>
      </c>
      <c r="B21" s="34" t="s">
        <v>78</v>
      </c>
      <c r="C21" s="36"/>
      <c r="D21" s="16" t="s">
        <v>333</v>
      </c>
      <c r="E21" s="168" t="s">
        <v>312</v>
      </c>
      <c r="F21" s="169"/>
      <c r="G21" s="17" t="s">
        <v>360</v>
      </c>
      <c r="H21" s="22" t="s">
        <v>334</v>
      </c>
      <c r="I21" s="23"/>
      <c r="J21" s="41"/>
      <c r="K21" s="12"/>
      <c r="L21" s="12"/>
      <c r="M21" s="49"/>
      <c r="N21" s="240"/>
      <c r="O21" s="241"/>
      <c r="P21" s="13"/>
      <c r="Q21" s="14" t="str">
        <f t="shared" si="0"/>
        <v>"_new_id_mainbranch_value": "main_branch_code",</v>
      </c>
      <c r="R21" s="14" t="str">
        <f t="shared" si="1"/>
        <v>"main_branch_code": "string",</v>
      </c>
    </row>
    <row r="22" spans="1:18" ht="15.75" customHeight="1" outlineLevel="1">
      <c r="A22" s="37" t="s">
        <v>395</v>
      </c>
      <c r="B22" s="34" t="s">
        <v>78</v>
      </c>
      <c r="C22" s="36"/>
      <c r="D22" s="16" t="s">
        <v>396</v>
      </c>
      <c r="E22" s="168" t="s">
        <v>312</v>
      </c>
      <c r="F22" s="169"/>
      <c r="G22" s="17" t="s">
        <v>360</v>
      </c>
      <c r="H22" s="22" t="s">
        <v>397</v>
      </c>
      <c r="I22" s="23"/>
      <c r="J22" s="41"/>
      <c r="K22" s="12"/>
      <c r="L22" s="12"/>
      <c r="M22" s="49"/>
      <c r="N22" s="42"/>
      <c r="O22" s="43"/>
      <c r="P22" s="13"/>
      <c r="Q22" s="14" t="str">
        <f>CONCATENATE($Q$2,H22,$R$2,A22,$Q$2,",")</f>
        <v>"_new_id_area_value_label": "branch_area",</v>
      </c>
      <c r="R22" s="14" t="str">
        <f t="shared" si="1"/>
        <v>"branch_area": "string",</v>
      </c>
    </row>
    <row r="23" spans="1:18" ht="15.75" customHeight="1" outlineLevel="1">
      <c r="A23" s="37" t="s">
        <v>335</v>
      </c>
      <c r="B23" s="55" t="s">
        <v>111</v>
      </c>
      <c r="C23" s="36"/>
      <c r="D23" s="34" t="s">
        <v>336</v>
      </c>
      <c r="E23" s="168" t="s">
        <v>312</v>
      </c>
      <c r="F23" s="169"/>
      <c r="G23" s="17" t="s">
        <v>360</v>
      </c>
      <c r="H23" s="17" t="s">
        <v>337</v>
      </c>
      <c r="I23" s="23"/>
      <c r="J23" s="41"/>
      <c r="K23" s="12"/>
      <c r="L23" s="12"/>
      <c r="M23" s="49"/>
      <c r="N23" s="240"/>
      <c r="O23" s="241"/>
      <c r="P23" s="13"/>
      <c r="Q23" s="14" t="str">
        <f t="shared" si="0"/>
        <v>"statecode": "is_inactive",</v>
      </c>
      <c r="R23" s="14" t="str">
        <f t="shared" si="1"/>
        <v>"is_inactive": "Int64",</v>
      </c>
    </row>
    <row r="24" spans="1:18" ht="15.75" customHeight="1" outlineLevel="1">
      <c r="A24" s="37" t="s">
        <v>338</v>
      </c>
      <c r="B24" s="55" t="s">
        <v>111</v>
      </c>
      <c r="C24" s="36"/>
      <c r="D24" s="34" t="s">
        <v>340</v>
      </c>
      <c r="E24" s="168" t="s">
        <v>312</v>
      </c>
      <c r="F24" s="169"/>
      <c r="G24" s="17" t="s">
        <v>360</v>
      </c>
      <c r="H24" s="22" t="s">
        <v>341</v>
      </c>
      <c r="I24" s="23"/>
      <c r="J24" s="41"/>
      <c r="K24" s="12"/>
      <c r="L24" s="12"/>
      <c r="M24" s="49"/>
      <c r="N24" s="240"/>
      <c r="O24" s="241"/>
      <c r="P24" s="13"/>
      <c r="Q24" s="14" t="str">
        <f t="shared" si="0"/>
        <v>"statuscode": "status_code",</v>
      </c>
      <c r="R24" s="14" t="str">
        <f t="shared" si="1"/>
        <v>"status_code": "Int64",</v>
      </c>
    </row>
    <row r="25" spans="1:18" ht="15.75" customHeight="1" outlineLevel="1">
      <c r="A25" s="37" t="s">
        <v>342</v>
      </c>
      <c r="B25" s="34" t="s">
        <v>239</v>
      </c>
      <c r="C25" s="36"/>
      <c r="D25" s="34" t="s">
        <v>343</v>
      </c>
      <c r="E25" s="168" t="s">
        <v>312</v>
      </c>
      <c r="F25" s="169"/>
      <c r="G25" s="17" t="s">
        <v>360</v>
      </c>
      <c r="H25" s="17" t="s">
        <v>344</v>
      </c>
      <c r="I25" s="48"/>
      <c r="J25" s="41"/>
      <c r="K25" s="12"/>
      <c r="L25" s="12"/>
      <c r="M25" s="45"/>
      <c r="N25" s="42"/>
      <c r="O25" s="43"/>
      <c r="P25" s="13"/>
      <c r="Q25" s="14" t="str">
        <f t="shared" si="0"/>
        <v>"modifiedon": "modified_on_date",</v>
      </c>
      <c r="R25" s="14" t="str">
        <f t="shared" si="1"/>
        <v>"modified_on_date": "datetime",</v>
      </c>
    </row>
    <row r="26" spans="1:18" ht="15.75" customHeight="1" outlineLevel="1">
      <c r="A26" s="37"/>
      <c r="B26" s="34"/>
      <c r="C26" s="36"/>
      <c r="D26" s="34"/>
      <c r="E26" s="46"/>
      <c r="F26" s="47"/>
      <c r="G26" s="17"/>
      <c r="H26" s="17"/>
      <c r="I26" s="48"/>
      <c r="J26" s="41"/>
      <c r="K26" s="12"/>
      <c r="L26" s="12"/>
      <c r="M26" s="45"/>
      <c r="N26" s="42"/>
      <c r="O26" s="43"/>
      <c r="P26" s="13"/>
      <c r="Q26" s="14" t="str">
        <f t="shared" si="0"/>
        <v>"": "",</v>
      </c>
      <c r="R26" s="14" t="str">
        <f t="shared" si="1"/>
        <v>"": "",</v>
      </c>
    </row>
    <row r="27" spans="1:18" ht="15.75" customHeight="1" outlineLevel="1">
      <c r="A27" s="37"/>
      <c r="B27" s="34"/>
      <c r="C27" s="36"/>
      <c r="D27" s="34"/>
      <c r="E27" s="168"/>
      <c r="F27" s="169"/>
      <c r="G27" s="17"/>
      <c r="H27" s="22"/>
      <c r="I27" s="23"/>
      <c r="J27" s="41"/>
      <c r="K27" s="12"/>
      <c r="L27" s="12"/>
      <c r="M27" s="45"/>
      <c r="N27" s="240"/>
      <c r="O27" s="241"/>
      <c r="P27" s="13"/>
      <c r="Q27" s="14" t="str">
        <f t="shared" si="0"/>
        <v>"": "",</v>
      </c>
      <c r="R27" s="14" t="str">
        <f t="shared" si="1"/>
        <v>"": "",</v>
      </c>
    </row>
    <row r="28" spans="1:18" ht="15.75" customHeight="1" outlineLevel="1">
      <c r="A28" s="38" t="s">
        <v>64</v>
      </c>
      <c r="B28" s="39"/>
      <c r="C28" s="40"/>
      <c r="D28" s="9"/>
      <c r="E28" s="168"/>
      <c r="F28" s="169"/>
      <c r="G28" s="17"/>
      <c r="H28" s="25"/>
      <c r="I28" s="24"/>
      <c r="J28" s="51"/>
      <c r="K28" s="3"/>
      <c r="L28" s="3"/>
      <c r="M28" s="49"/>
      <c r="N28" s="242"/>
      <c r="O28" s="243"/>
      <c r="P28" s="4"/>
      <c r="Q28" s="14" t="str">
        <f t="shared" si="0"/>
        <v>"": "Leave Empty",</v>
      </c>
      <c r="R28" s="14" t="str">
        <f t="shared" si="1"/>
        <v>"Leave Empty": "",</v>
      </c>
    </row>
    <row r="29" spans="1:18" ht="15.75" customHeight="1">
      <c r="E29" s="170"/>
      <c r="F29" s="146"/>
      <c r="G29" s="171"/>
      <c r="H29" s="155"/>
      <c r="I29" s="26"/>
      <c r="N29" s="226"/>
      <c r="O29" s="226"/>
      <c r="Q29" s="14" t="str">
        <f t="shared" si="0"/>
        <v>"": "",</v>
      </c>
      <c r="R29" s="14" t="str">
        <f t="shared" si="1"/>
        <v>"": "",</v>
      </c>
    </row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</sheetData>
  <autoFilter ref="A8:P28" xr:uid="{00000000-0009-0000-0000-000000000000}"/>
  <mergeCells count="60">
    <mergeCell ref="E22:F22"/>
    <mergeCell ref="E29:F29"/>
    <mergeCell ref="G29:H29"/>
    <mergeCell ref="N29:O29"/>
    <mergeCell ref="E27:F27"/>
    <mergeCell ref="N27:O27"/>
    <mergeCell ref="E20:F20"/>
    <mergeCell ref="E25:F25"/>
    <mergeCell ref="E10:F10"/>
    <mergeCell ref="Q2:Q5"/>
    <mergeCell ref="E28:F28"/>
    <mergeCell ref="N28:O28"/>
    <mergeCell ref="E24:F24"/>
    <mergeCell ref="N24:O24"/>
    <mergeCell ref="E21:F21"/>
    <mergeCell ref="N21:O21"/>
    <mergeCell ref="E23:F23"/>
    <mergeCell ref="N23:O23"/>
    <mergeCell ref="E18:F18"/>
    <mergeCell ref="N18:O18"/>
    <mergeCell ref="E19:F19"/>
    <mergeCell ref="N19:O19"/>
    <mergeCell ref="E16:F16"/>
    <mergeCell ref="N16:O16"/>
    <mergeCell ref="E17:F17"/>
    <mergeCell ref="N17:O17"/>
    <mergeCell ref="E14:F14"/>
    <mergeCell ref="N14:O14"/>
    <mergeCell ref="E15:F15"/>
    <mergeCell ref="N15:O15"/>
    <mergeCell ref="E12:F12"/>
    <mergeCell ref="N12:O12"/>
    <mergeCell ref="E13:F13"/>
    <mergeCell ref="N13:O13"/>
    <mergeCell ref="E9:F9"/>
    <mergeCell ref="N9:O9"/>
    <mergeCell ref="E11:F11"/>
    <mergeCell ref="N11:O11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R2:R5"/>
    <mergeCell ref="C3:C5"/>
    <mergeCell ref="D3:D5"/>
    <mergeCell ref="F3:G3"/>
    <mergeCell ref="F4:G4"/>
    <mergeCell ref="F5:G5"/>
  </mergeCells>
  <conditionalFormatting sqref="A9:A28">
    <cfRule type="expression" dxfId="114" priority="1">
      <formula>M9 = "On Hold"</formula>
    </cfRule>
  </conditionalFormatting>
  <conditionalFormatting sqref="B2:B5 J9:P28">
    <cfRule type="cellIs" dxfId="113" priority="2" operator="equal">
      <formula>"Done"</formula>
    </cfRule>
    <cfRule type="cellIs" dxfId="112" priority="3" operator="equal">
      <formula>"On Hold"</formula>
    </cfRule>
    <cfRule type="cellIs" dxfId="111" priority="5" operator="equal">
      <formula>"Ready for Review"</formula>
    </cfRule>
    <cfRule type="cellIs" dxfId="110" priority="6" operator="equal">
      <formula>"In Review"</formula>
    </cfRule>
  </conditionalFormatting>
  <dataValidations count="7">
    <dataValidation type="list" allowBlank="1" sqref="B3 M9:M28" xr:uid="{D6309098-931F-424A-91C6-937A89D0551D}">
      <formula1>Statuses</formula1>
    </dataValidation>
    <dataValidation type="list" allowBlank="1" sqref="B4:B5" xr:uid="{5FB02644-E9B4-4AB8-B62D-30E3F8E5F58C}">
      <formula1>ETL_Statuses</formula1>
    </dataValidation>
    <dataValidation type="list" allowBlank="1" showErrorMessage="1" sqref="B2" xr:uid="{C5352E63-156F-41D0-9331-8A1CF57EFBA4}">
      <formula1>STT_Statuses</formula1>
    </dataValidation>
    <dataValidation type="list" allowBlank="1" sqref="B10:B11 B13 B16 B25:B28 B20:B22" xr:uid="{EFBA93B7-0847-4AAC-A627-BC5BEC0188B7}">
      <formula1>Data_Types</formula1>
    </dataValidation>
    <dataValidation type="list" allowBlank="1" sqref="E9:E28" xr:uid="{012C05B8-486A-46AB-8621-A83DB270F548}">
      <formula1>Sources</formula1>
    </dataValidation>
    <dataValidation type="list" allowBlank="1" sqref="P9:P28" xr:uid="{502CE305-7D5A-47DC-BA0A-01A4A3348DDC}">
      <formula1>Versions</formula1>
    </dataValidation>
    <dataValidation type="list" allowBlank="1" sqref="N9:N28" xr:uid="{1EA5FD75-4C46-47E8-8193-B65339170165}">
      <formula1>Categories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A76C-B75D-4C95-B960-0DEE710CB7FB}">
  <sheetPr>
    <tabColor rgb="FF00B050"/>
    <outlinePr summaryBelow="0" summaryRight="0"/>
  </sheetPr>
  <dimension ref="A1:R149"/>
  <sheetViews>
    <sheetView workbookViewId="0">
      <pane xSplit="1" ySplit="8" topLeftCell="B9" activePane="bottomRight" state="frozen"/>
      <selection pane="bottomRight" activeCell="D10" sqref="D10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398</v>
      </c>
      <c r="E3" s="148"/>
      <c r="F3" s="150" t="s">
        <v>399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312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 t="s">
        <v>398</v>
      </c>
      <c r="R7" s="11"/>
    </row>
    <row r="8" spans="1:18" ht="15.75" customHeight="1">
      <c r="A8" s="34"/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/>
      <c r="R8" s="14" t="str">
        <f>"("</f>
        <v>(</v>
      </c>
    </row>
    <row r="9" spans="1:18" ht="15.75" customHeight="1" outlineLevel="1">
      <c r="A9" s="37" t="s">
        <v>400</v>
      </c>
      <c r="B9" s="34" t="s">
        <v>78</v>
      </c>
      <c r="C9" s="36" t="e" vm="1">
        <v>#VALUE!</v>
      </c>
      <c r="D9" s="34" t="s">
        <v>401</v>
      </c>
      <c r="E9" s="168" t="s">
        <v>312</v>
      </c>
      <c r="F9" s="169"/>
      <c r="G9" s="17" t="s">
        <v>398</v>
      </c>
      <c r="H9" s="17" t="s">
        <v>402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 t="shared" ref="Q9:Q21" si="0">CONCATENATE($Q$2,H9,$R$2,A9,$Q$2,",")</f>
        <v>"new_ageforgroupid": "age_group_code",</v>
      </c>
      <c r="R9" s="14" t="str">
        <f>CONCATENATE($Q$2,A9,$R$2,B9,$Q$2,",")</f>
        <v>"age_group_code": "string",</v>
      </c>
    </row>
    <row r="10" spans="1:18" ht="15.75" customHeight="1" outlineLevel="1">
      <c r="A10" s="37" t="s">
        <v>403</v>
      </c>
      <c r="B10" s="34" t="s">
        <v>78</v>
      </c>
      <c r="C10" s="36"/>
      <c r="D10" s="16" t="s">
        <v>404</v>
      </c>
      <c r="E10" s="168" t="s">
        <v>312</v>
      </c>
      <c r="F10" s="169"/>
      <c r="G10" s="17" t="s">
        <v>398</v>
      </c>
      <c r="H10" s="22" t="s">
        <v>405</v>
      </c>
      <c r="I10" s="17"/>
      <c r="J10" s="41"/>
      <c r="K10" s="12"/>
      <c r="L10" s="12"/>
      <c r="M10" s="49"/>
      <c r="N10" s="240"/>
      <c r="O10" s="241"/>
      <c r="P10" s="13"/>
      <c r="Q10" s="14" t="str">
        <f t="shared" si="0"/>
        <v>"new_pl_gender_label": "age_group_gender",</v>
      </c>
      <c r="R10" s="14" t="str">
        <f t="shared" ref="R10:R21" si="1">CONCATENATE($Q$2,A10,$R$2,B10,$Q$2,",")</f>
        <v>"age_group_gender": "string",</v>
      </c>
    </row>
    <row r="11" spans="1:18" ht="15.75" customHeight="1" outlineLevel="1">
      <c r="A11" s="37" t="s">
        <v>406</v>
      </c>
      <c r="B11" s="34" t="s">
        <v>111</v>
      </c>
      <c r="C11" s="36"/>
      <c r="D11" s="34" t="s">
        <v>407</v>
      </c>
      <c r="E11" s="168" t="s">
        <v>312</v>
      </c>
      <c r="F11" s="169"/>
      <c r="G11" s="17" t="s">
        <v>398</v>
      </c>
      <c r="H11" s="17" t="s">
        <v>408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"new_i_fromage": "age_group_from_age",</v>
      </c>
      <c r="R11" s="14" t="str">
        <f t="shared" si="1"/>
        <v>"age_group_from_age": "Int64",</v>
      </c>
    </row>
    <row r="12" spans="1:18" ht="14.45" outlineLevel="1">
      <c r="A12" s="37" t="s">
        <v>409</v>
      </c>
      <c r="B12" s="34" t="s">
        <v>111</v>
      </c>
      <c r="C12" s="36"/>
      <c r="D12" s="34" t="s">
        <v>410</v>
      </c>
      <c r="E12" s="168" t="s">
        <v>312</v>
      </c>
      <c r="F12" s="169"/>
      <c r="G12" s="17" t="s">
        <v>398</v>
      </c>
      <c r="H12" s="17" t="s">
        <v>411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"new_i_toage": "age_group_to_age",</v>
      </c>
      <c r="R12" s="14" t="str">
        <f t="shared" si="1"/>
        <v>"age_group_to_age": "Int64",</v>
      </c>
    </row>
    <row r="13" spans="1:18" ht="15.75" customHeight="1" outlineLevel="1">
      <c r="A13" s="37" t="s">
        <v>412</v>
      </c>
      <c r="B13" s="34" t="s">
        <v>78</v>
      </c>
      <c r="C13" s="36"/>
      <c r="D13" s="34" t="s">
        <v>413</v>
      </c>
      <c r="E13" s="168" t="s">
        <v>312</v>
      </c>
      <c r="F13" s="169"/>
      <c r="G13" s="17" t="s">
        <v>398</v>
      </c>
      <c r="H13" s="17" t="s">
        <v>369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"new_name": "age_group_desc",</v>
      </c>
      <c r="R13" s="14" t="str">
        <f t="shared" si="1"/>
        <v>"age_group_desc": "string",</v>
      </c>
    </row>
    <row r="14" spans="1:18" ht="15.75" customHeight="1" outlineLevel="1">
      <c r="A14" s="37" t="s">
        <v>414</v>
      </c>
      <c r="B14" s="34" t="s">
        <v>111</v>
      </c>
      <c r="C14" s="36"/>
      <c r="D14" s="16" t="s">
        <v>415</v>
      </c>
      <c r="E14" s="168" t="s">
        <v>312</v>
      </c>
      <c r="F14" s="169"/>
      <c r="G14" s="17" t="s">
        <v>398</v>
      </c>
      <c r="H14" s="17" t="s">
        <v>416</v>
      </c>
      <c r="I14" s="23"/>
      <c r="J14" s="41"/>
      <c r="K14" s="12"/>
      <c r="L14" s="12"/>
      <c r="M14" s="49"/>
      <c r="N14" s="240"/>
      <c r="O14" s="241"/>
      <c r="P14" s="13"/>
      <c r="Q14" s="14" t="str">
        <f t="shared" si="0"/>
        <v>"new_b_isowningpersonalbranch": "is_exsist_personal_branch",</v>
      </c>
      <c r="R14" s="14" t="str">
        <f t="shared" si="1"/>
        <v>"is_exsist_personal_branch": "Int64",</v>
      </c>
    </row>
    <row r="15" spans="1:18" ht="15.75" customHeight="1" outlineLevel="1">
      <c r="A15" s="37" t="s">
        <v>417</v>
      </c>
      <c r="B15" s="34" t="s">
        <v>111</v>
      </c>
      <c r="C15" s="36"/>
      <c r="D15" s="34" t="s">
        <v>418</v>
      </c>
      <c r="E15" s="168" t="s">
        <v>312</v>
      </c>
      <c r="F15" s="169"/>
      <c r="G15" s="17" t="s">
        <v>398</v>
      </c>
      <c r="H15" s="22" t="s">
        <v>419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"new_b_isowninggroupbranch": "is_exsist_group_branch",</v>
      </c>
      <c r="R15" s="14" t="str">
        <f t="shared" si="1"/>
        <v>"is_exsist_group_branch": "Int64",</v>
      </c>
    </row>
    <row r="16" spans="1:18" ht="15.75" customHeight="1" outlineLevel="1">
      <c r="A16" s="37" t="s">
        <v>420</v>
      </c>
      <c r="B16" s="34" t="s">
        <v>111</v>
      </c>
      <c r="C16" s="36"/>
      <c r="D16" s="16" t="s">
        <v>421</v>
      </c>
      <c r="E16" s="168" t="s">
        <v>312</v>
      </c>
      <c r="F16" s="169"/>
      <c r="G16" s="17" t="s">
        <v>398</v>
      </c>
      <c r="H16" s="22" t="s">
        <v>422</v>
      </c>
      <c r="I16" s="23"/>
      <c r="J16" s="41"/>
      <c r="K16" s="12"/>
      <c r="L16" s="12"/>
      <c r="M16" s="49"/>
      <c r="N16" s="240"/>
      <c r="O16" s="241"/>
      <c r="P16" s="13"/>
      <c r="Q16" s="14" t="str">
        <f t="shared" si="0"/>
        <v>"new_b_isineuropechampionship": "is_exsist_europe_champ",</v>
      </c>
      <c r="R16" s="14" t="str">
        <f t="shared" si="1"/>
        <v>"is_exsist_europe_champ": "Int64",</v>
      </c>
    </row>
    <row r="17" spans="1:18" ht="15.75" customHeight="1" outlineLevel="1">
      <c r="A17" s="37" t="s">
        <v>335</v>
      </c>
      <c r="B17" s="34" t="s">
        <v>111</v>
      </c>
      <c r="C17" s="36"/>
      <c r="D17" s="34" t="s">
        <v>336</v>
      </c>
      <c r="E17" s="168" t="s">
        <v>312</v>
      </c>
      <c r="F17" s="169"/>
      <c r="G17" s="17" t="s">
        <v>398</v>
      </c>
      <c r="H17" s="17" t="s">
        <v>337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"statecode": "is_inactive",</v>
      </c>
      <c r="R17" s="14" t="str">
        <f t="shared" si="1"/>
        <v>"is_inactive": "Int64",</v>
      </c>
    </row>
    <row r="18" spans="1:18" ht="15.75" customHeight="1" outlineLevel="1">
      <c r="A18" s="37" t="s">
        <v>338</v>
      </c>
      <c r="B18" s="34" t="s">
        <v>111</v>
      </c>
      <c r="C18" s="36"/>
      <c r="D18" s="34" t="s">
        <v>340</v>
      </c>
      <c r="E18" s="168" t="s">
        <v>312</v>
      </c>
      <c r="F18" s="169"/>
      <c r="G18" s="17" t="s">
        <v>398</v>
      </c>
      <c r="H18" s="22" t="s">
        <v>341</v>
      </c>
      <c r="I18" s="23"/>
      <c r="J18" s="41"/>
      <c r="K18" s="12"/>
      <c r="L18" s="12"/>
      <c r="M18" s="49"/>
      <c r="N18" s="240"/>
      <c r="O18" s="241"/>
      <c r="P18" s="13"/>
      <c r="Q18" s="14" t="str">
        <f t="shared" si="0"/>
        <v>"statuscode": "status_code",</v>
      </c>
      <c r="R18" s="14" t="str">
        <f t="shared" si="1"/>
        <v>"status_code": "Int64",</v>
      </c>
    </row>
    <row r="19" spans="1:18" ht="15.75" customHeight="1" outlineLevel="1">
      <c r="A19" s="37" t="s">
        <v>342</v>
      </c>
      <c r="B19" s="34" t="s">
        <v>239</v>
      </c>
      <c r="C19" s="36"/>
      <c r="D19" s="34" t="s">
        <v>343</v>
      </c>
      <c r="E19" s="168" t="s">
        <v>312</v>
      </c>
      <c r="F19" s="169"/>
      <c r="G19" s="17" t="s">
        <v>398</v>
      </c>
      <c r="H19" s="17" t="s">
        <v>344</v>
      </c>
      <c r="I19" s="48"/>
      <c r="J19" s="41"/>
      <c r="K19" s="12"/>
      <c r="L19" s="12"/>
      <c r="M19" s="45"/>
      <c r="N19" s="42"/>
      <c r="O19" s="43"/>
      <c r="P19" s="13"/>
      <c r="Q19" s="14" t="str">
        <f t="shared" si="0"/>
        <v>"modifiedon": "modified_on_date",</v>
      </c>
      <c r="R19" s="14" t="str">
        <f t="shared" si="1"/>
        <v>"modified_on_date": "datetime",</v>
      </c>
    </row>
    <row r="20" spans="1:18" ht="15.75" customHeight="1" outlineLevel="1">
      <c r="A20" s="37"/>
      <c r="B20" s="34"/>
      <c r="C20" s="36"/>
      <c r="D20" s="34"/>
      <c r="E20" s="168"/>
      <c r="F20" s="169"/>
      <c r="G20" s="17"/>
      <c r="H20" s="22"/>
      <c r="I20" s="23"/>
      <c r="J20" s="41"/>
      <c r="K20" s="12"/>
      <c r="L20" s="12"/>
      <c r="M20" s="45"/>
      <c r="N20" s="240"/>
      <c r="O20" s="241"/>
      <c r="P20" s="13"/>
      <c r="Q20" s="14" t="str">
        <f t="shared" si="0"/>
        <v>"": "",</v>
      </c>
      <c r="R20" s="14" t="str">
        <f t="shared" si="1"/>
        <v>"": "",</v>
      </c>
    </row>
    <row r="21" spans="1:18" ht="15.75" customHeight="1" outlineLevel="1">
      <c r="A21" s="38" t="s">
        <v>64</v>
      </c>
      <c r="B21" s="39"/>
      <c r="C21" s="40"/>
      <c r="D21" s="9"/>
      <c r="E21" s="168"/>
      <c r="F21" s="169"/>
      <c r="G21" s="17"/>
      <c r="H21" s="25"/>
      <c r="I21" s="24"/>
      <c r="J21" s="51"/>
      <c r="K21" s="3"/>
      <c r="L21" s="3"/>
      <c r="M21" s="49"/>
      <c r="N21" s="242"/>
      <c r="O21" s="243"/>
      <c r="P21" s="4"/>
      <c r="Q21" s="14" t="str">
        <f t="shared" si="0"/>
        <v>"": "Leave Empty",</v>
      </c>
      <c r="R21" s="14" t="str">
        <f t="shared" si="1"/>
        <v>"Leave Empty": "",</v>
      </c>
    </row>
    <row r="22" spans="1:18" ht="15.75" customHeight="1">
      <c r="E22" s="170"/>
      <c r="F22" s="146"/>
      <c r="G22" s="171"/>
      <c r="H22" s="155"/>
      <c r="I22" s="26"/>
      <c r="N22" s="226"/>
      <c r="O22" s="226"/>
      <c r="Q22" s="5" t="s">
        <v>178</v>
      </c>
      <c r="R22" s="5" t="s">
        <v>178</v>
      </c>
    </row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</sheetData>
  <autoFilter ref="A8:P21" xr:uid="{00000000-0009-0000-0000-000000000000}"/>
  <mergeCells count="51">
    <mergeCell ref="E22:F22"/>
    <mergeCell ref="G22:H22"/>
    <mergeCell ref="N22:O22"/>
    <mergeCell ref="E19:F19"/>
    <mergeCell ref="E18:F18"/>
    <mergeCell ref="N18:O18"/>
    <mergeCell ref="E20:F20"/>
    <mergeCell ref="N20:O20"/>
    <mergeCell ref="E21:F21"/>
    <mergeCell ref="N21:O21"/>
    <mergeCell ref="E16:F16"/>
    <mergeCell ref="N16:O16"/>
    <mergeCell ref="E17:F17"/>
    <mergeCell ref="N17:O17"/>
    <mergeCell ref="E14:F14"/>
    <mergeCell ref="N14:O14"/>
    <mergeCell ref="E15:F15"/>
    <mergeCell ref="N15:O15"/>
    <mergeCell ref="E13:F13"/>
    <mergeCell ref="N13:O13"/>
    <mergeCell ref="E11:F11"/>
    <mergeCell ref="N11:O11"/>
    <mergeCell ref="E12:F12"/>
    <mergeCell ref="N12:O12"/>
    <mergeCell ref="E9:F9"/>
    <mergeCell ref="N9:O9"/>
    <mergeCell ref="E10:F10"/>
    <mergeCell ref="N10:O10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R2:R5"/>
    <mergeCell ref="C3:C5"/>
    <mergeCell ref="D3:D5"/>
    <mergeCell ref="F3:G3"/>
    <mergeCell ref="F4:G4"/>
    <mergeCell ref="F5:G5"/>
    <mergeCell ref="Q2:Q5"/>
  </mergeCells>
  <phoneticPr fontId="13" type="noConversion"/>
  <conditionalFormatting sqref="A9:A21">
    <cfRule type="expression" dxfId="109" priority="1">
      <formula>M9 = "On Hold"</formula>
    </cfRule>
  </conditionalFormatting>
  <conditionalFormatting sqref="B2:B5 J9:P21">
    <cfRule type="cellIs" dxfId="108" priority="2" operator="equal">
      <formula>"Done"</formula>
    </cfRule>
    <cfRule type="cellIs" dxfId="107" priority="3" operator="equal">
      <formula>"On Hold"</formula>
    </cfRule>
    <cfRule type="cellIs" dxfId="106" priority="5" operator="equal">
      <formula>"Ready for Review"</formula>
    </cfRule>
    <cfRule type="cellIs" dxfId="105" priority="6" operator="equal">
      <formula>"In Review"</formula>
    </cfRule>
  </conditionalFormatting>
  <dataValidations count="7">
    <dataValidation type="list" allowBlank="1" showErrorMessage="1" sqref="B2" xr:uid="{4F5614EE-7C91-41FE-82C2-E383114B19B3}">
      <formula1>STT_Statuses</formula1>
    </dataValidation>
    <dataValidation type="list" allowBlank="1" sqref="B4:B5" xr:uid="{FA9A8BCE-6C9F-46CC-99AE-8986DF6595DE}">
      <formula1>ETL_Statuses</formula1>
    </dataValidation>
    <dataValidation type="list" allowBlank="1" sqref="B3 M9:M21" xr:uid="{A6C28C4B-7588-449D-8EA9-DA2F667B3A89}">
      <formula1>Statuses</formula1>
    </dataValidation>
    <dataValidation type="list" allowBlank="1" sqref="N9:N21" xr:uid="{EB1163E7-7785-4E56-9EE3-14285417BBD1}">
      <formula1>Categories</formula1>
    </dataValidation>
    <dataValidation type="list" allowBlank="1" sqref="P9:P21" xr:uid="{C0D769FB-86CC-4BEF-8D41-BDF044D843CB}">
      <formula1>Versions</formula1>
    </dataValidation>
    <dataValidation type="list" allowBlank="1" sqref="E9:E21" xr:uid="{7A8DA01F-988D-42C3-B18E-E2FFA27E9F54}">
      <formula1>Sources</formula1>
    </dataValidation>
    <dataValidation type="list" allowBlank="1" sqref="B9:B21" xr:uid="{B94B667E-56B2-4071-8FD6-A739BE98B288}">
      <formula1>Data_Types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7D99E-B47A-45E9-9957-4202344DC1C4}">
  <sheetPr>
    <tabColor rgb="FF00B050"/>
    <outlinePr summaryBelow="0" summaryRight="0"/>
  </sheetPr>
  <dimension ref="A1:R147"/>
  <sheetViews>
    <sheetView workbookViewId="0">
      <pane xSplit="1" ySplit="8" topLeftCell="B9" activePane="bottomRight" state="frozen"/>
      <selection pane="bottomRight" activeCell="F3" sqref="F3:G3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423</v>
      </c>
      <c r="E3" s="148"/>
      <c r="F3" s="150" t="s">
        <v>89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312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 t="s">
        <v>423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249</v>
      </c>
      <c r="B9" s="55" t="s">
        <v>111</v>
      </c>
      <c r="C9" s="36" t="e" vm="1">
        <v>#VALUE!</v>
      </c>
      <c r="D9" s="34" t="s">
        <v>424</v>
      </c>
      <c r="E9" s="168" t="s">
        <v>312</v>
      </c>
      <c r="F9" s="169"/>
      <c r="G9" s="17" t="s">
        <v>423</v>
      </c>
      <c r="H9" s="17" t="s">
        <v>425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"new_code": "authority_id",</v>
      </c>
      <c r="R9" s="14" t="str">
        <f>CONCATENATE($Q$2,A9,$R$2,B9,$Q$2,",")</f>
        <v>"authority_id": "Int64",</v>
      </c>
    </row>
    <row r="10" spans="1:18" ht="15.75" customHeight="1" outlineLevel="1">
      <c r="A10" s="37" t="s">
        <v>87</v>
      </c>
      <c r="B10" s="34" t="s">
        <v>78</v>
      </c>
      <c r="C10" s="36"/>
      <c r="D10" s="16" t="s">
        <v>426</v>
      </c>
      <c r="E10" s="168" t="s">
        <v>312</v>
      </c>
      <c r="F10" s="169"/>
      <c r="G10" s="17" t="s">
        <v>423</v>
      </c>
      <c r="H10" s="22" t="s">
        <v>369</v>
      </c>
      <c r="I10" s="17"/>
      <c r="J10" s="41"/>
      <c r="K10" s="12"/>
      <c r="L10" s="12"/>
      <c r="M10" s="49"/>
      <c r="N10" s="240"/>
      <c r="O10" s="241"/>
      <c r="P10" s="13"/>
      <c r="Q10" s="14" t="str">
        <f t="shared" ref="Q10:Q16" si="0">CONCATENATE($Q$2,H10,$R$2,A10,$Q$2,",")</f>
        <v>"new_name": "authority_name",</v>
      </c>
      <c r="R10" s="14" t="str">
        <f t="shared" ref="R10:R16" si="1">CONCATENATE($Q$2,A10,$R$2,B10,$Q$2,",")</f>
        <v>"authority_name": "string",</v>
      </c>
    </row>
    <row r="11" spans="1:18" ht="15.75" customHeight="1" outlineLevel="1">
      <c r="A11" s="37" t="s">
        <v>77</v>
      </c>
      <c r="B11" s="34" t="s">
        <v>78</v>
      </c>
      <c r="C11" s="36"/>
      <c r="D11" s="34" t="s">
        <v>79</v>
      </c>
      <c r="E11" s="168" t="s">
        <v>312</v>
      </c>
      <c r="F11" s="169"/>
      <c r="G11" s="17" t="s">
        <v>423</v>
      </c>
      <c r="H11" s="17" t="s">
        <v>427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"new_district_label": "district",</v>
      </c>
      <c r="R11" s="14" t="str">
        <f t="shared" si="1"/>
        <v>"district": "string",</v>
      </c>
    </row>
    <row r="12" spans="1:18" ht="15.75" customHeight="1" outlineLevel="1">
      <c r="A12" s="37" t="s">
        <v>428</v>
      </c>
      <c r="B12" s="34" t="s">
        <v>78</v>
      </c>
      <c r="C12" s="36"/>
      <c r="D12" s="34" t="s">
        <v>429</v>
      </c>
      <c r="E12" s="168" t="s">
        <v>312</v>
      </c>
      <c r="F12" s="169"/>
      <c r="G12" s="17" t="s">
        <v>423</v>
      </c>
      <c r="H12" s="17" t="s">
        <v>430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"new_headauthorityname": "head_authority_name",</v>
      </c>
      <c r="R12" s="14" t="str">
        <f t="shared" si="1"/>
        <v>"head_authority_name": "string",</v>
      </c>
    </row>
    <row r="13" spans="1:18" ht="15.75" customHeight="1" outlineLevel="1">
      <c r="A13" s="37" t="s">
        <v>355</v>
      </c>
      <c r="B13" s="34" t="s">
        <v>78</v>
      </c>
      <c r="C13" s="36" t="e" vm="1">
        <v>#VALUE!</v>
      </c>
      <c r="D13" s="16" t="s">
        <v>431</v>
      </c>
      <c r="E13" s="168" t="s">
        <v>312</v>
      </c>
      <c r="F13" s="169"/>
      <c r="G13" s="17" t="s">
        <v>423</v>
      </c>
      <c r="H13" s="17" t="s">
        <v>432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"new_localauthorityid": "authority_code",</v>
      </c>
      <c r="R13" s="14" t="str">
        <f t="shared" si="1"/>
        <v>"authority_code": "string",</v>
      </c>
    </row>
    <row r="14" spans="1:18" ht="15.75" customHeight="1" outlineLevel="1">
      <c r="A14" s="37" t="s">
        <v>335</v>
      </c>
      <c r="B14" s="55" t="s">
        <v>111</v>
      </c>
      <c r="C14" s="36"/>
      <c r="D14" s="34" t="s">
        <v>336</v>
      </c>
      <c r="E14" s="168" t="s">
        <v>312</v>
      </c>
      <c r="F14" s="169"/>
      <c r="G14" s="17" t="s">
        <v>423</v>
      </c>
      <c r="H14" s="17" t="s">
        <v>337</v>
      </c>
      <c r="I14" s="23"/>
      <c r="J14" s="41"/>
      <c r="K14" s="12"/>
      <c r="L14" s="12"/>
      <c r="M14" s="49"/>
      <c r="N14" s="240"/>
      <c r="O14" s="241"/>
      <c r="P14" s="13"/>
      <c r="Q14" s="14" t="str">
        <f t="shared" si="0"/>
        <v>"statecode": "is_inactive",</v>
      </c>
      <c r="R14" s="14" t="str">
        <f t="shared" si="1"/>
        <v>"is_inactive": "Int64",</v>
      </c>
    </row>
    <row r="15" spans="1:18" ht="15.75" customHeight="1" outlineLevel="1">
      <c r="A15" s="37" t="s">
        <v>338</v>
      </c>
      <c r="B15" s="55" t="s">
        <v>111</v>
      </c>
      <c r="C15" s="36"/>
      <c r="D15" s="34" t="s">
        <v>340</v>
      </c>
      <c r="E15" s="168" t="s">
        <v>312</v>
      </c>
      <c r="F15" s="169"/>
      <c r="G15" s="17" t="s">
        <v>423</v>
      </c>
      <c r="H15" s="22" t="s">
        <v>341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"statuscode": "status_code",</v>
      </c>
      <c r="R15" s="14" t="str">
        <f t="shared" si="1"/>
        <v>"status_code": "Int64",</v>
      </c>
    </row>
    <row r="16" spans="1:18" ht="15.75" customHeight="1" outlineLevel="1">
      <c r="A16" s="37" t="s">
        <v>342</v>
      </c>
      <c r="B16" s="34" t="s">
        <v>239</v>
      </c>
      <c r="C16" s="36"/>
      <c r="D16" s="34" t="s">
        <v>343</v>
      </c>
      <c r="E16" s="168" t="s">
        <v>312</v>
      </c>
      <c r="F16" s="169"/>
      <c r="G16" s="17" t="s">
        <v>423</v>
      </c>
      <c r="H16" s="17" t="s">
        <v>344</v>
      </c>
      <c r="I16" s="23"/>
      <c r="J16" s="41"/>
      <c r="K16" s="12"/>
      <c r="L16" s="12"/>
      <c r="M16" s="49"/>
      <c r="N16" s="240"/>
      <c r="O16" s="241"/>
      <c r="P16" s="13"/>
      <c r="Q16" s="14" t="str">
        <f t="shared" si="0"/>
        <v>"modifiedon": "modified_on_date",</v>
      </c>
      <c r="R16" s="14" t="str">
        <f t="shared" si="1"/>
        <v>"modified_on_date": "datetime",</v>
      </c>
    </row>
    <row r="17" spans="1:18" ht="15.75" customHeight="1" outlineLevel="1">
      <c r="A17" s="37"/>
      <c r="B17" s="34"/>
      <c r="C17" s="36"/>
      <c r="D17" s="16"/>
      <c r="E17" s="46"/>
      <c r="F17" s="47"/>
      <c r="G17" s="17"/>
      <c r="H17" s="22"/>
      <c r="I17" s="48"/>
      <c r="J17" s="41"/>
      <c r="K17" s="12"/>
      <c r="L17" s="12"/>
      <c r="M17" s="45"/>
      <c r="N17" s="42"/>
      <c r="O17" s="43"/>
      <c r="P17" s="13"/>
      <c r="Q17" s="14"/>
      <c r="R17" s="14"/>
    </row>
    <row r="18" spans="1:18" ht="15.75" customHeight="1" outlineLevel="1">
      <c r="A18" s="37"/>
      <c r="B18" s="34"/>
      <c r="C18" s="36"/>
      <c r="D18" s="34"/>
      <c r="E18" s="168"/>
      <c r="F18" s="169"/>
      <c r="G18" s="17"/>
      <c r="H18" s="22"/>
      <c r="I18" s="23"/>
      <c r="J18" s="41"/>
      <c r="K18" s="12"/>
      <c r="L18" s="12"/>
      <c r="M18" s="45"/>
      <c r="N18" s="240"/>
      <c r="O18" s="241"/>
      <c r="P18" s="13"/>
      <c r="Q18" s="14"/>
      <c r="R18" s="14"/>
    </row>
    <row r="19" spans="1:18" ht="15.75" customHeight="1" outlineLevel="1">
      <c r="A19" s="38" t="s">
        <v>64</v>
      </c>
      <c r="B19" s="39"/>
      <c r="C19" s="40"/>
      <c r="D19" s="9"/>
      <c r="E19" s="168"/>
      <c r="F19" s="169"/>
      <c r="G19" s="17"/>
      <c r="H19" s="25"/>
      <c r="I19" s="24"/>
      <c r="J19" s="51"/>
      <c r="K19" s="3"/>
      <c r="L19" s="3"/>
      <c r="M19" s="49"/>
      <c r="N19" s="242"/>
      <c r="O19" s="243"/>
      <c r="P19" s="4"/>
      <c r="Q19" s="14"/>
      <c r="R19" s="14"/>
    </row>
    <row r="20" spans="1:18" ht="15.75" customHeight="1">
      <c r="E20" s="170"/>
      <c r="F20" s="146"/>
      <c r="G20" s="171"/>
      <c r="H20" s="155"/>
      <c r="I20" s="26"/>
      <c r="N20" s="226"/>
      <c r="O20" s="226"/>
      <c r="Q20" s="5" t="s">
        <v>178</v>
      </c>
      <c r="R20" s="5" t="s">
        <v>178</v>
      </c>
    </row>
    <row r="21" spans="1:18" ht="15.75" customHeight="1"/>
    <row r="22" spans="1:18" ht="15.75" customHeight="1"/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</sheetData>
  <autoFilter ref="A8:P19" xr:uid="{00000000-0009-0000-0000-000000000000}"/>
  <mergeCells count="46">
    <mergeCell ref="N20:O20"/>
    <mergeCell ref="E20:F20"/>
    <mergeCell ref="G20:H20"/>
    <mergeCell ref="Q2:Q5"/>
    <mergeCell ref="E19:F19"/>
    <mergeCell ref="N19:O19"/>
    <mergeCell ref="E18:F18"/>
    <mergeCell ref="N18:O18"/>
    <mergeCell ref="E16:F16"/>
    <mergeCell ref="N16:O16"/>
    <mergeCell ref="E15:F15"/>
    <mergeCell ref="N15:O15"/>
    <mergeCell ref="E14:F14"/>
    <mergeCell ref="N14:O14"/>
    <mergeCell ref="E13:F13"/>
    <mergeCell ref="N13:O13"/>
    <mergeCell ref="N12:O12"/>
    <mergeCell ref="E11:F11"/>
    <mergeCell ref="N11:O11"/>
    <mergeCell ref="E8:F8"/>
    <mergeCell ref="N8:O8"/>
    <mergeCell ref="E10:F10"/>
    <mergeCell ref="N10:O10"/>
    <mergeCell ref="E9:F9"/>
    <mergeCell ref="N9:O9"/>
    <mergeCell ref="E7:I7"/>
    <mergeCell ref="J7:L7"/>
    <mergeCell ref="B1:D1"/>
    <mergeCell ref="E1:I1"/>
    <mergeCell ref="E12:F12"/>
    <mergeCell ref="N7:P7"/>
    <mergeCell ref="N1:P1"/>
    <mergeCell ref="R2:R5"/>
    <mergeCell ref="C3:C5"/>
    <mergeCell ref="D3:D5"/>
    <mergeCell ref="F3:G3"/>
    <mergeCell ref="F4:G4"/>
    <mergeCell ref="F5:G5"/>
    <mergeCell ref="J2:L6"/>
    <mergeCell ref="M2:M6"/>
    <mergeCell ref="N2:N6"/>
    <mergeCell ref="O2:P6"/>
    <mergeCell ref="E2:E6"/>
    <mergeCell ref="F2:G2"/>
    <mergeCell ref="F6:I6"/>
    <mergeCell ref="B7:D7"/>
  </mergeCells>
  <phoneticPr fontId="13" type="noConversion"/>
  <conditionalFormatting sqref="A9:A12">
    <cfRule type="expression" dxfId="104" priority="6">
      <formula>M9 = "On Hold"</formula>
    </cfRule>
  </conditionalFormatting>
  <conditionalFormatting sqref="A13">
    <cfRule type="expression" dxfId="103" priority="2">
      <formula>J13 = "On Hold"</formula>
    </cfRule>
  </conditionalFormatting>
  <conditionalFormatting sqref="A14:A19">
    <cfRule type="expression" dxfId="102" priority="1">
      <formula>M14 = "On Hold"</formula>
    </cfRule>
  </conditionalFormatting>
  <conditionalFormatting sqref="B2:B5 J9:P19">
    <cfRule type="cellIs" dxfId="101" priority="4" operator="equal">
      <formula>"Done"</formula>
    </cfRule>
    <cfRule type="cellIs" dxfId="100" priority="5" operator="equal">
      <formula>"On Hold"</formula>
    </cfRule>
    <cfRule type="cellIs" dxfId="99" priority="7" operator="equal">
      <formula>"Ready for Review"</formula>
    </cfRule>
    <cfRule type="cellIs" dxfId="98" priority="8" operator="equal">
      <formula>"In Review"</formula>
    </cfRule>
  </conditionalFormatting>
  <dataValidations count="7">
    <dataValidation type="list" allowBlank="1" sqref="B3 M9:M19" xr:uid="{B28169F5-2289-46F9-8B14-4FEF6FEAE375}">
      <formula1>Statuses</formula1>
    </dataValidation>
    <dataValidation type="list" allowBlank="1" sqref="B4:B5" xr:uid="{90D77C34-98E4-41B3-9C37-1D216F64E8A4}">
      <formula1>ETL_Statuses</formula1>
    </dataValidation>
    <dataValidation type="list" allowBlank="1" showErrorMessage="1" sqref="B2" xr:uid="{300A6549-9EB9-4F7D-BD46-6B92531AD26C}">
      <formula1>STT_Statuses</formula1>
    </dataValidation>
    <dataValidation type="list" allowBlank="1" sqref="B16:B19 B10:B13" xr:uid="{441FF34A-B4F9-4C54-91F1-6F9A8F7B532D}">
      <formula1>Data_Types</formula1>
    </dataValidation>
    <dataValidation type="list" allowBlank="1" sqref="E9:E19" xr:uid="{94A58112-A5F5-477B-A374-B541B8D6A3A0}">
      <formula1>Sources</formula1>
    </dataValidation>
    <dataValidation type="list" allowBlank="1" sqref="P9:P19" xr:uid="{228810B6-9675-414B-BA8D-56352CFB8647}">
      <formula1>Versions</formula1>
    </dataValidation>
    <dataValidation type="list" allowBlank="1" sqref="N9:N19" xr:uid="{4A1847B8-8F60-4506-A7FE-F088EDBA17D2}">
      <formula1>Categories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EBFB9-7AD8-4512-951C-7AD22DF6A7A7}">
  <sheetPr>
    <tabColor rgb="FF00B050"/>
    <outlinePr summaryBelow="0" summaryRight="0"/>
  </sheetPr>
  <dimension ref="A1:V155"/>
  <sheetViews>
    <sheetView zoomScaleNormal="100" workbookViewId="0">
      <pane xSplit="1" ySplit="8" topLeftCell="B9" activePane="bottomRight" state="frozen"/>
      <selection pane="bottomRight" activeCell="D12" sqref="D12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433</v>
      </c>
      <c r="E3" s="148"/>
      <c r="F3" s="150" t="s">
        <v>434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 t="s">
        <v>433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s="128" customFormat="1" ht="15.75" customHeight="1" outlineLevel="1">
      <c r="A9" s="37" t="s">
        <v>435</v>
      </c>
      <c r="B9" s="34" t="s">
        <v>78</v>
      </c>
      <c r="C9" s="36" t="e" vm="1">
        <v>#VALUE!</v>
      </c>
      <c r="D9" s="34" t="s">
        <v>436</v>
      </c>
      <c r="E9" s="168" t="s">
        <v>312</v>
      </c>
      <c r="F9" s="169"/>
      <c r="G9" s="17" t="s">
        <v>433</v>
      </c>
      <c r="H9" s="17" t="s">
        <v>437</v>
      </c>
      <c r="I9" s="122"/>
      <c r="J9" s="123"/>
      <c r="K9" s="124"/>
      <c r="L9" s="124"/>
      <c r="M9" s="125"/>
      <c r="N9" s="244" t="s">
        <v>82</v>
      </c>
      <c r="O9" s="245"/>
      <c r="P9" s="126" t="s">
        <v>83</v>
      </c>
      <c r="Q9" s="127" t="str">
        <f>CONCATENATE($Q$2,H9,$R$2,A9,$Q$2,",")</f>
        <v>"new_t_idnumber": "trainer_id",</v>
      </c>
      <c r="R9" s="127" t="str">
        <f>CONCATENATE($Q$2,A9,$R$2,B9,$Q$2,",")</f>
        <v>"trainer_id": "string",</v>
      </c>
    </row>
    <row r="10" spans="1:18" ht="15.75" customHeight="1" outlineLevel="1">
      <c r="A10" s="37" t="s">
        <v>438</v>
      </c>
      <c r="B10" s="34" t="s">
        <v>78</v>
      </c>
      <c r="C10" s="36" t="e" vm="1">
        <v>#VALUE!</v>
      </c>
      <c r="D10" s="16" t="s">
        <v>439</v>
      </c>
      <c r="E10" s="168" t="s">
        <v>312</v>
      </c>
      <c r="F10" s="169"/>
      <c r="G10" s="17" t="s">
        <v>433</v>
      </c>
      <c r="H10" s="22" t="s">
        <v>440</v>
      </c>
      <c r="I10" s="17"/>
      <c r="J10" s="41"/>
      <c r="K10" s="12"/>
      <c r="L10" s="12"/>
      <c r="M10" s="49"/>
      <c r="N10" s="240"/>
      <c r="O10" s="241"/>
      <c r="P10" s="13"/>
      <c r="Q10" s="14" t="str">
        <f t="shared" ref="Q10:Q27" si="0">CONCATENATE($Q$2,H10,$R$2,A10,$Q$2,",")</f>
        <v>"new_trainerid": "trainer_code",</v>
      </c>
      <c r="R10" s="14" t="str">
        <f t="shared" ref="R10:R27" si="1">CONCATENATE($Q$2,A10,$R$2,B10,$Q$2,",")</f>
        <v>"trainer_code": "string",</v>
      </c>
    </row>
    <row r="11" spans="1:18" ht="15.75" customHeight="1" outlineLevel="1">
      <c r="A11" s="37" t="s">
        <v>441</v>
      </c>
      <c r="B11" s="34" t="s">
        <v>78</v>
      </c>
      <c r="C11" s="36"/>
      <c r="D11" s="34" t="s">
        <v>442</v>
      </c>
      <c r="E11" s="168" t="s">
        <v>312</v>
      </c>
      <c r="F11" s="169"/>
      <c r="G11" s="17" t="s">
        <v>433</v>
      </c>
      <c r="H11" s="17" t="s">
        <v>443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"new_t_fname": "trainer_first_name",</v>
      </c>
      <c r="R11" s="14" t="str">
        <f t="shared" si="1"/>
        <v>"trainer_first_name": "string",</v>
      </c>
    </row>
    <row r="12" spans="1:18" ht="15.75" customHeight="1" outlineLevel="1">
      <c r="A12" s="37" t="s">
        <v>444</v>
      </c>
      <c r="B12" s="34" t="s">
        <v>78</v>
      </c>
      <c r="C12" s="36"/>
      <c r="D12" s="34" t="s">
        <v>445</v>
      </c>
      <c r="E12" s="168" t="s">
        <v>312</v>
      </c>
      <c r="F12" s="169"/>
      <c r="G12" s="17" t="s">
        <v>433</v>
      </c>
      <c r="H12" s="17" t="s">
        <v>446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"new_t_lname": "trainer_last_name",</v>
      </c>
      <c r="R12" s="14" t="str">
        <f t="shared" si="1"/>
        <v>"trainer_last_name": "string",</v>
      </c>
    </row>
    <row r="13" spans="1:18" ht="15.75" customHeight="1" outlineLevel="1">
      <c r="A13" s="37" t="s">
        <v>447</v>
      </c>
      <c r="B13" s="34" t="s">
        <v>78</v>
      </c>
      <c r="C13" s="36"/>
      <c r="D13" s="34" t="s">
        <v>404</v>
      </c>
      <c r="E13" s="168" t="s">
        <v>312</v>
      </c>
      <c r="F13" s="169"/>
      <c r="G13" s="17" t="s">
        <v>433</v>
      </c>
      <c r="H13" s="17" t="s">
        <v>448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"new_pl_sex_label": "trainer_gender",</v>
      </c>
      <c r="R13" s="14" t="str">
        <f t="shared" si="1"/>
        <v>"trainer_gender": "string",</v>
      </c>
    </row>
    <row r="14" spans="1:18" ht="15.75" customHeight="1" outlineLevel="1">
      <c r="A14" s="37" t="s">
        <v>449</v>
      </c>
      <c r="B14" s="34" t="s">
        <v>78</v>
      </c>
      <c r="C14" s="36"/>
      <c r="D14" s="16" t="s">
        <v>450</v>
      </c>
      <c r="E14" s="168" t="s">
        <v>312</v>
      </c>
      <c r="F14" s="169"/>
      <c r="G14" s="17" t="s">
        <v>433</v>
      </c>
      <c r="H14" s="17" t="s">
        <v>451</v>
      </c>
      <c r="I14" s="23"/>
      <c r="J14" s="41"/>
      <c r="K14" s="12"/>
      <c r="L14" s="12"/>
      <c r="M14" s="49"/>
      <c r="N14" s="42"/>
      <c r="O14" s="43"/>
      <c r="P14" s="13"/>
      <c r="Q14" s="14" t="str">
        <f t="shared" si="0"/>
        <v>"_new_id_supportrequest_value": "support_request_code",</v>
      </c>
      <c r="R14" s="14" t="str">
        <f t="shared" si="1"/>
        <v>"support_request_code": "string",</v>
      </c>
    </row>
    <row r="15" spans="1:18" ht="15.75" customHeight="1" outlineLevel="1">
      <c r="A15" s="37" t="s">
        <v>452</v>
      </c>
      <c r="B15" s="34" t="s">
        <v>78</v>
      </c>
      <c r="C15" s="36"/>
      <c r="D15" s="16" t="s">
        <v>453</v>
      </c>
      <c r="E15" s="168" t="s">
        <v>312</v>
      </c>
      <c r="F15" s="169"/>
      <c r="G15" s="17" t="s">
        <v>433</v>
      </c>
      <c r="H15" s="17" t="s">
        <v>454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"new_pl_professionaleducation_label": "instructor_or_trainer",</v>
      </c>
      <c r="R15" s="14" t="str">
        <f t="shared" si="1"/>
        <v>"instructor_or_trainer": "string",</v>
      </c>
    </row>
    <row r="16" spans="1:18" ht="15.75" customHeight="1" outlineLevel="1">
      <c r="A16" s="37" t="s">
        <v>316</v>
      </c>
      <c r="B16" s="34" t="s">
        <v>78</v>
      </c>
      <c r="C16" s="36"/>
      <c r="D16" s="16" t="s">
        <v>317</v>
      </c>
      <c r="E16" s="168" t="s">
        <v>312</v>
      </c>
      <c r="F16" s="169"/>
      <c r="G16" s="17" t="s">
        <v>433</v>
      </c>
      <c r="H16" s="17" t="s">
        <v>455</v>
      </c>
      <c r="I16" s="23"/>
      <c r="J16" s="41"/>
      <c r="K16" s="12"/>
      <c r="L16" s="12"/>
      <c r="M16" s="49"/>
      <c r="N16" s="42"/>
      <c r="O16" s="43"/>
      <c r="P16" s="13"/>
      <c r="Q16" s="14" t="str">
        <f t="shared" si="0"/>
        <v>"_new_id_association_value": "association_code",</v>
      </c>
      <c r="R16" s="14" t="str">
        <f t="shared" si="1"/>
        <v>"association_code": "string",</v>
      </c>
    </row>
    <row r="17" spans="1:22" ht="15.75" customHeight="1" outlineLevel="1">
      <c r="A17" s="37" t="s">
        <v>456</v>
      </c>
      <c r="B17" s="34" t="s">
        <v>78</v>
      </c>
      <c r="C17" s="36"/>
      <c r="D17" s="16" t="s">
        <v>457</v>
      </c>
      <c r="E17" s="168" t="s">
        <v>312</v>
      </c>
      <c r="F17" s="169"/>
      <c r="G17" s="17" t="s">
        <v>433</v>
      </c>
      <c r="H17" s="17" t="s">
        <v>458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"_new_id_association_value_label": "association_key",</v>
      </c>
      <c r="R17" s="14" t="str">
        <f t="shared" si="1"/>
        <v>"association_key": "string",</v>
      </c>
    </row>
    <row r="18" spans="1:22" ht="15.75" customHeight="1" outlineLevel="1">
      <c r="A18" s="37" t="s">
        <v>459</v>
      </c>
      <c r="B18" s="34" t="s">
        <v>78</v>
      </c>
      <c r="C18" s="36"/>
      <c r="D18" s="34" t="s">
        <v>460</v>
      </c>
      <c r="E18" s="168" t="s">
        <v>312</v>
      </c>
      <c r="F18" s="169"/>
      <c r="G18" s="17" t="s">
        <v>433</v>
      </c>
      <c r="H18" s="22" t="s">
        <v>461</v>
      </c>
      <c r="I18" s="23"/>
      <c r="J18" s="41"/>
      <c r="K18" s="12"/>
      <c r="L18" s="12"/>
      <c r="M18" s="49"/>
      <c r="N18" s="240"/>
      <c r="O18" s="241"/>
      <c r="P18" s="13"/>
      <c r="Q18" s="14" t="str">
        <f t="shared" si="0"/>
        <v>"new_id_type_label": "identification_type",</v>
      </c>
      <c r="R18" s="14" t="str">
        <f t="shared" si="1"/>
        <v>"identification_type": "string",</v>
      </c>
    </row>
    <row r="19" spans="1:22" ht="15.75" customHeight="1" outlineLevel="1">
      <c r="A19" s="56" t="s">
        <v>56</v>
      </c>
      <c r="B19" s="57" t="s">
        <v>111</v>
      </c>
      <c r="C19" s="58"/>
      <c r="D19" s="116" t="s">
        <v>462</v>
      </c>
      <c r="E19" s="176" t="s">
        <v>312</v>
      </c>
      <c r="F19" s="177"/>
      <c r="G19" s="17" t="s">
        <v>433</v>
      </c>
      <c r="H19" s="117" t="s">
        <v>348</v>
      </c>
      <c r="I19" s="23"/>
      <c r="J19" s="41"/>
      <c r="K19" s="12"/>
      <c r="L19" s="12"/>
      <c r="M19" s="49"/>
      <c r="N19" s="42"/>
      <c r="O19" s="43"/>
      <c r="P19" s="13"/>
      <c r="Q19" s="14" t="str">
        <f t="shared" si="0"/>
        <v>"new_t_societynumber": "society_id",</v>
      </c>
      <c r="R19" s="14" t="str">
        <f t="shared" si="1"/>
        <v>"society_id": "Int64",</v>
      </c>
    </row>
    <row r="20" spans="1:22" ht="15.75" customHeight="1" outlineLevel="1">
      <c r="A20" s="37" t="s">
        <v>463</v>
      </c>
      <c r="B20" s="34" t="s">
        <v>78</v>
      </c>
      <c r="C20" s="36"/>
      <c r="D20" s="34" t="s">
        <v>464</v>
      </c>
      <c r="E20" s="168" t="s">
        <v>312</v>
      </c>
      <c r="F20" s="169"/>
      <c r="G20" s="17" t="s">
        <v>433</v>
      </c>
      <c r="H20" s="22" t="s">
        <v>465</v>
      </c>
      <c r="I20" s="23"/>
      <c r="J20" s="41"/>
      <c r="K20" s="12"/>
      <c r="L20" s="12"/>
      <c r="M20" s="49"/>
      <c r="N20" s="240"/>
      <c r="O20" s="241"/>
      <c r="P20" s="13"/>
      <c r="Q20" s="14" t="str">
        <f t="shared" si="0"/>
        <v>"new_pl_grossmonthlysalary_label": "gross_monthly_salary_category",</v>
      </c>
      <c r="R20" s="14" t="str">
        <f t="shared" si="1"/>
        <v>"gross_monthly_salary_category": "string",</v>
      </c>
    </row>
    <row r="21" spans="1:22" ht="15.75" customHeight="1" outlineLevel="1">
      <c r="A21" s="37" t="s">
        <v>466</v>
      </c>
      <c r="B21" s="34" t="s">
        <v>217</v>
      </c>
      <c r="C21" s="36"/>
      <c r="D21" s="34" t="s">
        <v>467</v>
      </c>
      <c r="E21" s="168" t="s">
        <v>312</v>
      </c>
      <c r="F21" s="169"/>
      <c r="G21" s="17" t="s">
        <v>433</v>
      </c>
      <c r="H21" s="17" t="s">
        <v>468</v>
      </c>
      <c r="I21" s="23"/>
      <c r="J21" s="41"/>
      <c r="K21" s="12"/>
      <c r="L21" s="12"/>
      <c r="M21" s="49"/>
      <c r="N21" s="240"/>
      <c r="O21" s="241"/>
      <c r="P21" s="13"/>
      <c r="Q21" s="14" t="str">
        <f t="shared" si="0"/>
        <v>"new_n_averagesalaryineconomy": "salary_avg",</v>
      </c>
      <c r="R21" s="14" t="str">
        <f t="shared" si="1"/>
        <v>"salary_avg": "float64",</v>
      </c>
    </row>
    <row r="22" spans="1:22" ht="15.75" customHeight="1" outlineLevel="1">
      <c r="A22" s="37" t="s">
        <v>335</v>
      </c>
      <c r="B22" s="34" t="s">
        <v>111</v>
      </c>
      <c r="C22" s="36"/>
      <c r="D22" s="34" t="s">
        <v>336</v>
      </c>
      <c r="E22" s="168" t="s">
        <v>312</v>
      </c>
      <c r="F22" s="169"/>
      <c r="G22" s="17" t="s">
        <v>433</v>
      </c>
      <c r="H22" s="17" t="s">
        <v>337</v>
      </c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"statecode": "is_inactive",</v>
      </c>
      <c r="R22" s="14" t="str">
        <f t="shared" si="1"/>
        <v>"is_inactive": "Int64",</v>
      </c>
    </row>
    <row r="23" spans="1:22" ht="15.75" customHeight="1" outlineLevel="1">
      <c r="A23" s="37" t="s">
        <v>338</v>
      </c>
      <c r="B23" s="34" t="s">
        <v>111</v>
      </c>
      <c r="C23" s="36"/>
      <c r="D23" s="34" t="s">
        <v>340</v>
      </c>
      <c r="E23" s="168" t="s">
        <v>312</v>
      </c>
      <c r="F23" s="169"/>
      <c r="G23" s="17" t="s">
        <v>433</v>
      </c>
      <c r="H23" s="22" t="s">
        <v>341</v>
      </c>
      <c r="I23" s="23"/>
      <c r="J23" s="41"/>
      <c r="K23" s="12"/>
      <c r="L23" s="12"/>
      <c r="M23" s="49"/>
      <c r="N23" s="240"/>
      <c r="O23" s="241"/>
      <c r="P23" s="13"/>
      <c r="Q23" s="14" t="str">
        <f t="shared" si="0"/>
        <v>"statuscode": "status_code",</v>
      </c>
      <c r="R23" s="14" t="str">
        <f t="shared" si="1"/>
        <v>"status_code": "Int64",</v>
      </c>
    </row>
    <row r="24" spans="1:22" ht="15.75" customHeight="1" outlineLevel="1">
      <c r="A24" s="37" t="s">
        <v>342</v>
      </c>
      <c r="B24" s="34" t="s">
        <v>239</v>
      </c>
      <c r="C24" s="36"/>
      <c r="D24" s="34" t="s">
        <v>343</v>
      </c>
      <c r="E24" s="168" t="s">
        <v>312</v>
      </c>
      <c r="F24" s="169"/>
      <c r="G24" s="17" t="s">
        <v>433</v>
      </c>
      <c r="H24" s="17" t="s">
        <v>344</v>
      </c>
      <c r="I24" s="23"/>
      <c r="J24" s="41"/>
      <c r="K24" s="12"/>
      <c r="L24" s="12"/>
      <c r="M24" s="49"/>
      <c r="N24" s="240"/>
      <c r="O24" s="241"/>
      <c r="P24" s="13"/>
      <c r="Q24" s="14" t="str">
        <f t="shared" si="0"/>
        <v>"modifiedon": "modified_on_date",</v>
      </c>
      <c r="R24" s="14" t="str">
        <f t="shared" si="1"/>
        <v>"modified_on_date": "datetime",</v>
      </c>
    </row>
    <row r="25" spans="1:22" ht="15.75" customHeight="1" outlineLevel="1">
      <c r="A25" s="37"/>
      <c r="B25" s="34"/>
      <c r="C25" s="36"/>
      <c r="D25" s="16"/>
      <c r="E25" s="46"/>
      <c r="F25" s="47"/>
      <c r="G25" s="17"/>
      <c r="H25" s="22"/>
      <c r="I25" s="48"/>
      <c r="J25" s="41"/>
      <c r="K25" s="12"/>
      <c r="L25" s="12"/>
      <c r="M25" s="45"/>
      <c r="N25" s="42"/>
      <c r="O25" s="43"/>
      <c r="P25" s="13"/>
      <c r="Q25" s="14" t="str">
        <f t="shared" si="0"/>
        <v>"": "",</v>
      </c>
      <c r="R25" s="14" t="str">
        <f t="shared" si="1"/>
        <v>"": "",</v>
      </c>
    </row>
    <row r="26" spans="1:22" ht="15.75" customHeight="1" outlineLevel="1">
      <c r="A26" s="37"/>
      <c r="B26" s="34"/>
      <c r="C26" s="36"/>
      <c r="D26" s="34"/>
      <c r="E26" s="168"/>
      <c r="F26" s="169"/>
      <c r="G26" s="17"/>
      <c r="H26" s="22"/>
      <c r="I26" s="23"/>
      <c r="J26" s="41"/>
      <c r="K26" s="12"/>
      <c r="L26" s="12"/>
      <c r="M26" s="45"/>
      <c r="N26" s="240"/>
      <c r="O26" s="241"/>
      <c r="P26" s="13"/>
      <c r="Q26" s="14" t="str">
        <f t="shared" si="0"/>
        <v>"": "",</v>
      </c>
      <c r="R26" s="14" t="str">
        <f t="shared" si="1"/>
        <v>"": "",</v>
      </c>
    </row>
    <row r="27" spans="1:22" ht="15.75" customHeight="1" outlineLevel="1">
      <c r="A27" s="38" t="s">
        <v>64</v>
      </c>
      <c r="B27" s="39"/>
      <c r="C27" s="40"/>
      <c r="D27" s="9"/>
      <c r="E27" s="168"/>
      <c r="F27" s="169"/>
      <c r="G27" s="17"/>
      <c r="H27" s="25"/>
      <c r="I27" s="24"/>
      <c r="J27" s="51"/>
      <c r="K27" s="3"/>
      <c r="L27" s="3"/>
      <c r="M27" s="49"/>
      <c r="N27" s="242"/>
      <c r="O27" s="243"/>
      <c r="P27" s="4"/>
      <c r="Q27" s="14" t="str">
        <f t="shared" si="0"/>
        <v>"": "Leave Empty",</v>
      </c>
      <c r="R27" s="14" t="str">
        <f t="shared" si="1"/>
        <v>"Leave Empty": "",</v>
      </c>
    </row>
    <row r="28" spans="1:22" ht="15.75" customHeight="1">
      <c r="E28" s="170"/>
      <c r="F28" s="146"/>
      <c r="G28" s="171"/>
      <c r="H28" s="155"/>
      <c r="I28" s="26"/>
      <c r="N28" s="226"/>
      <c r="O28" s="226"/>
      <c r="Q28" s="5" t="s">
        <v>178</v>
      </c>
      <c r="R28" s="5" t="s">
        <v>178</v>
      </c>
    </row>
    <row r="29" spans="1:22" ht="15.75" customHeight="1"/>
    <row r="30" spans="1:22" s="18" customFormat="1" ht="15.75" customHeight="1">
      <c r="E30" s="21"/>
      <c r="F30" s="44"/>
      <c r="G30" s="27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 s="18" customFormat="1" ht="15.75" customHeight="1">
      <c r="E31" s="21"/>
      <c r="F31" s="44"/>
      <c r="G31" s="27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s="18" customFormat="1" ht="15.75" customHeight="1">
      <c r="E32" s="21"/>
      <c r="F32" s="44"/>
      <c r="G32" s="27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5:22" s="18" customFormat="1" ht="15.75" customHeight="1">
      <c r="E33" s="21"/>
      <c r="F33" s="44"/>
      <c r="G33" s="27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5:22" s="18" customFormat="1" ht="15.75" customHeight="1">
      <c r="E34" s="21"/>
      <c r="F34" s="44"/>
      <c r="G34" s="27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5:22" s="18" customFormat="1" ht="15.75" customHeight="1">
      <c r="E35" s="21"/>
      <c r="F35" s="44"/>
      <c r="G35" s="27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5:22" s="18" customFormat="1" ht="15.75" customHeight="1">
      <c r="E36" s="21"/>
      <c r="F36" s="44"/>
      <c r="G36" s="27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5:22" s="18" customFormat="1" ht="15.75" customHeight="1">
      <c r="E37" s="21"/>
      <c r="F37" s="44"/>
      <c r="G37" s="2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5:22" s="18" customFormat="1" ht="15.75" customHeight="1">
      <c r="E38" s="21"/>
      <c r="F38" s="44"/>
      <c r="G38" s="27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5:22" s="18" customFormat="1" ht="15.75" customHeight="1">
      <c r="E39" s="21"/>
      <c r="F39" s="44"/>
      <c r="G39" s="27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5:22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5:22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5:22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5:22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5:22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5:22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5:22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5:22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5:22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5:22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5:22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5:22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5:22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5:22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5:22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5:22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5:22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5:22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5:22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5:22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5:22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5:22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5:22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5:22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5:22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5:22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5:22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5:22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5:22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5:22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5:22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5:22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5:22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5:22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5:22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5:22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5:22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5:22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5:22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5:22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5:22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5:22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5:22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5:22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5:22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5:22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5:22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5:22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5:22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5:22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5:22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5:22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5:22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5:22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5:22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5:22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5:22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5:22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5:22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5:22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5:22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5:22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5:22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5:22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5:22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5:22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5:22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5:22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5:22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5:22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5:22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5:22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5:22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5:22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5:22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5:22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5:22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5:22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5:22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5:22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5:22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5:22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5:22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5:22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5:22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5:22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5:22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5:22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5:22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5:22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5:22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5:22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5:22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5:22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5:22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5:22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5:22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5:22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5:22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5:22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5:22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5:22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5:22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5:22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5:22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5:22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5:22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5:22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5:22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5:22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spans="5:22" s="18" customFormat="1" ht="15.75" customHeight="1">
      <c r="E150" s="21"/>
      <c r="F150" s="44"/>
      <c r="G150" s="27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spans="5:22" s="18" customFormat="1" ht="15.75" customHeight="1">
      <c r="E151" s="21"/>
      <c r="F151" s="44"/>
      <c r="G151" s="27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5:22" s="18" customFormat="1" ht="15.75" customHeight="1">
      <c r="E152" s="21"/>
      <c r="F152" s="44"/>
      <c r="G152" s="27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spans="5:22" s="18" customFormat="1" ht="15.75" customHeight="1">
      <c r="E153" s="21"/>
      <c r="F153" s="44"/>
      <c r="G153" s="27"/>
      <c r="J153"/>
      <c r="K153"/>
      <c r="L153"/>
      <c r="M153"/>
      <c r="N153"/>
      <c r="O153"/>
      <c r="P153"/>
      <c r="Q153"/>
      <c r="R153"/>
      <c r="S153"/>
      <c r="T153"/>
      <c r="U153"/>
      <c r="V153"/>
    </row>
    <row r="154" spans="5:22" s="18" customFormat="1" ht="15.75" customHeight="1">
      <c r="E154" s="21"/>
      <c r="F154" s="44"/>
      <c r="G154" s="27"/>
      <c r="J154"/>
      <c r="K154"/>
      <c r="L154"/>
      <c r="M154"/>
      <c r="N154"/>
      <c r="O154"/>
      <c r="P154"/>
      <c r="Q154"/>
      <c r="R154"/>
      <c r="S154"/>
      <c r="T154"/>
      <c r="U154"/>
      <c r="V154"/>
    </row>
    <row r="155" spans="5:22" s="18" customFormat="1" ht="15.75" customHeight="1">
      <c r="E155" s="21"/>
      <c r="F155" s="44"/>
      <c r="G155" s="27"/>
      <c r="J155"/>
      <c r="K155"/>
      <c r="L155"/>
      <c r="M155"/>
      <c r="N155"/>
      <c r="O155"/>
      <c r="P155"/>
      <c r="Q155"/>
      <c r="R155"/>
      <c r="S155"/>
      <c r="T155"/>
      <c r="U155"/>
      <c r="V155"/>
    </row>
  </sheetData>
  <autoFilter ref="A8:P27" xr:uid="{00000000-0009-0000-0000-000000000000}"/>
  <mergeCells count="58">
    <mergeCell ref="B7:D7"/>
    <mergeCell ref="E7:I7"/>
    <mergeCell ref="J7:L7"/>
    <mergeCell ref="N7:P7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R2:R5"/>
    <mergeCell ref="C3:C5"/>
    <mergeCell ref="D3:D5"/>
    <mergeCell ref="F3:G3"/>
    <mergeCell ref="F4:G4"/>
    <mergeCell ref="F5:G5"/>
    <mergeCell ref="Q2:Q5"/>
    <mergeCell ref="E8:F8"/>
    <mergeCell ref="N8:O8"/>
    <mergeCell ref="E9:F9"/>
    <mergeCell ref="N9:O9"/>
    <mergeCell ref="E10:F10"/>
    <mergeCell ref="N10:O10"/>
    <mergeCell ref="E11:F11"/>
    <mergeCell ref="N11:O11"/>
    <mergeCell ref="E12:F12"/>
    <mergeCell ref="N12:O12"/>
    <mergeCell ref="E13:F13"/>
    <mergeCell ref="N13:O13"/>
    <mergeCell ref="N21:O21"/>
    <mergeCell ref="E15:F15"/>
    <mergeCell ref="N15:O15"/>
    <mergeCell ref="E17:F17"/>
    <mergeCell ref="N17:O17"/>
    <mergeCell ref="E18:F18"/>
    <mergeCell ref="N18:O18"/>
    <mergeCell ref="E16:F16"/>
    <mergeCell ref="E19:F19"/>
    <mergeCell ref="E22:F22"/>
    <mergeCell ref="E14:F14"/>
    <mergeCell ref="E27:F27"/>
    <mergeCell ref="N27:O27"/>
    <mergeCell ref="E28:F28"/>
    <mergeCell ref="G28:H28"/>
    <mergeCell ref="N28:O28"/>
    <mergeCell ref="E23:F23"/>
    <mergeCell ref="N23:O23"/>
    <mergeCell ref="E24:F24"/>
    <mergeCell ref="N24:O24"/>
    <mergeCell ref="E26:F26"/>
    <mergeCell ref="N26:O26"/>
    <mergeCell ref="E20:F20"/>
    <mergeCell ref="N20:O20"/>
    <mergeCell ref="E21:F21"/>
  </mergeCells>
  <conditionalFormatting sqref="A9:A18 A20:A27">
    <cfRule type="expression" dxfId="97" priority="1">
      <formula>M9 = "On Hold"</formula>
    </cfRule>
  </conditionalFormatting>
  <conditionalFormatting sqref="B2:B5 J9:P27">
    <cfRule type="cellIs" dxfId="96" priority="4" operator="equal">
      <formula>"Done"</formula>
    </cfRule>
    <cfRule type="cellIs" dxfId="95" priority="5" operator="equal">
      <formula>"On Hold"</formula>
    </cfRule>
    <cfRule type="cellIs" dxfId="94" priority="7" operator="equal">
      <formula>"Ready for Review"</formula>
    </cfRule>
    <cfRule type="cellIs" dxfId="93" priority="8" operator="equal">
      <formula>"In Review"</formula>
    </cfRule>
  </conditionalFormatting>
  <dataValidations disablePrompts="1" count="7">
    <dataValidation type="list" allowBlank="1" sqref="B3 M9:M27" xr:uid="{924671E3-0598-4538-B6C9-5CCBD4FEEFA5}">
      <formula1>Statuses</formula1>
    </dataValidation>
    <dataValidation type="list" allowBlank="1" sqref="B4:B5" xr:uid="{71BD86A1-0CA4-4BE5-B101-94FAFA849DDA}">
      <formula1>ETL_Statuses</formula1>
    </dataValidation>
    <dataValidation type="list" allowBlank="1" showErrorMessage="1" sqref="B2" xr:uid="{1636FD03-24AD-422B-A593-CB7C64CDD6C7}">
      <formula1>STT_Statuses</formula1>
    </dataValidation>
    <dataValidation type="list" allowBlank="1" sqref="B20:B27 B9:B18" xr:uid="{6350394A-0121-468D-9FDA-ABC147264880}">
      <formula1>Data_Types</formula1>
    </dataValidation>
    <dataValidation type="list" allowBlank="1" sqref="E9:E18 E20:E27" xr:uid="{133DAB11-D0A2-4C7A-8A1A-7A82825180E7}">
      <formula1>Sources</formula1>
    </dataValidation>
    <dataValidation type="list" allowBlank="1" sqref="P9:P27" xr:uid="{026F77DA-2CBE-4287-A0FE-5394B1A2669B}">
      <formula1>Versions</formula1>
    </dataValidation>
    <dataValidation type="list" allowBlank="1" sqref="N9:N27" xr:uid="{0420A598-0A82-45F9-9E68-043ED3F44154}">
      <formula1>Categories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41DB0-3AE4-48EA-9521-AA55DFA6E0ED}">
  <sheetPr>
    <tabColor rgb="FF00B050"/>
    <outlinePr summaryBelow="0" summaryRight="0"/>
  </sheetPr>
  <dimension ref="A1:V153"/>
  <sheetViews>
    <sheetView zoomScale="90" zoomScaleNormal="90" workbookViewId="0">
      <pane xSplit="1" ySplit="8" topLeftCell="B9" activePane="bottomRight" state="frozen"/>
      <selection pane="bottomRight" activeCell="H12" sqref="H12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469</v>
      </c>
      <c r="E3" s="148"/>
      <c r="F3" s="150" t="s">
        <v>470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 t="s">
        <v>469</v>
      </c>
      <c r="R7" s="11" t="e">
        <f ca="1">"CREATE OR REPLACE TABLE " &amp; GetSheetName()</f>
        <v>#NAME?</v>
      </c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471</v>
      </c>
      <c r="B9" s="34" t="s">
        <v>78</v>
      </c>
      <c r="C9" s="36" t="e" vm="1">
        <v>#VALUE!</v>
      </c>
      <c r="D9" s="16" t="s">
        <v>472</v>
      </c>
      <c r="E9" s="168" t="s">
        <v>312</v>
      </c>
      <c r="F9" s="169"/>
      <c r="G9" s="17" t="s">
        <v>469</v>
      </c>
      <c r="H9" s="22" t="s">
        <v>473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"new_n_id": "official_id",</v>
      </c>
      <c r="R9" s="14" t="str">
        <f>CONCATENATE($Q$2,A9,$R$2,B9,$Q$2,",")</f>
        <v>"official_id": "string",</v>
      </c>
    </row>
    <row r="10" spans="1:18" ht="15.75" customHeight="1" outlineLevel="1">
      <c r="A10" s="37" t="s">
        <v>474</v>
      </c>
      <c r="B10" s="34" t="s">
        <v>78</v>
      </c>
      <c r="C10" s="36" t="e" vm="1">
        <v>#VALUE!</v>
      </c>
      <c r="D10" s="34" t="s">
        <v>475</v>
      </c>
      <c r="E10" s="168" t="s">
        <v>312</v>
      </c>
      <c r="F10" s="169"/>
      <c r="G10" s="17" t="s">
        <v>469</v>
      </c>
      <c r="H10" s="17" t="s">
        <v>476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22" si="0">CONCATENATE($Q$2,H10,$R$2,A10,$Q$2,",")</f>
        <v>"new_officialid": "official_code",</v>
      </c>
      <c r="R10" s="14" t="str">
        <f t="shared" ref="R10:R20" si="1">CONCATENATE($Q$2,A10,$R$2,B10,$Q$2,",")</f>
        <v>"official_code": "string",</v>
      </c>
    </row>
    <row r="11" spans="1:18" ht="15.75" customHeight="1" outlineLevel="1">
      <c r="A11" s="37" t="s">
        <v>449</v>
      </c>
      <c r="B11" s="34" t="s">
        <v>78</v>
      </c>
      <c r="C11" s="36"/>
      <c r="D11" s="16" t="s">
        <v>450</v>
      </c>
      <c r="E11" s="168" t="s">
        <v>312</v>
      </c>
      <c r="F11" s="169"/>
      <c r="G11" s="17" t="s">
        <v>469</v>
      </c>
      <c r="H11" s="22" t="s">
        <v>477</v>
      </c>
      <c r="I11" s="17"/>
      <c r="J11" s="41"/>
      <c r="K11" s="12"/>
      <c r="L11" s="12"/>
      <c r="M11" s="49"/>
      <c r="N11" s="240"/>
      <c r="O11" s="241"/>
      <c r="P11" s="13"/>
      <c r="Q11" s="14" t="str">
        <f t="shared" si="0"/>
        <v>"_new_id_supportedrequest_value": "support_request_code",</v>
      </c>
      <c r="R11" s="14" t="str">
        <f t="shared" si="1"/>
        <v>"support_request_code": "string",</v>
      </c>
    </row>
    <row r="12" spans="1:18" ht="15.75" customHeight="1" outlineLevel="1">
      <c r="A12" s="37" t="s">
        <v>478</v>
      </c>
      <c r="B12" s="34" t="s">
        <v>78</v>
      </c>
      <c r="C12" s="36"/>
      <c r="D12" s="16" t="s">
        <v>442</v>
      </c>
      <c r="E12" s="168" t="s">
        <v>312</v>
      </c>
      <c r="F12" s="169"/>
      <c r="G12" s="17" t="s">
        <v>469</v>
      </c>
      <c r="H12" s="22" t="s">
        <v>479</v>
      </c>
      <c r="I12" s="48"/>
      <c r="J12" s="41"/>
      <c r="K12" s="12"/>
      <c r="L12" s="12"/>
      <c r="M12" s="49"/>
      <c r="N12" s="42"/>
      <c r="O12" s="43"/>
      <c r="P12" s="13"/>
      <c r="Q12" s="14" t="str">
        <f t="shared" si="0"/>
        <v>"new_n_firstname": "official_first_name",</v>
      </c>
      <c r="R12" s="14" t="str">
        <f t="shared" si="1"/>
        <v>"official_first_name": "string",</v>
      </c>
    </row>
    <row r="13" spans="1:18" ht="15.75" customHeight="1" outlineLevel="1">
      <c r="A13" s="37" t="s">
        <v>480</v>
      </c>
      <c r="B13" s="34" t="s">
        <v>78</v>
      </c>
      <c r="C13" s="36"/>
      <c r="D13" s="34" t="s">
        <v>445</v>
      </c>
      <c r="E13" s="168" t="s">
        <v>312</v>
      </c>
      <c r="F13" s="169"/>
      <c r="G13" s="17" t="s">
        <v>469</v>
      </c>
      <c r="H13" s="17" t="s">
        <v>481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"new_n_lastname": "official_last_name",</v>
      </c>
      <c r="R13" s="14" t="str">
        <f t="shared" si="1"/>
        <v>"official_last_name": "string",</v>
      </c>
    </row>
    <row r="14" spans="1:18" ht="15.75" customHeight="1" outlineLevel="1">
      <c r="A14" s="37" t="s">
        <v>482</v>
      </c>
      <c r="B14" s="34" t="s">
        <v>78</v>
      </c>
      <c r="C14" s="36"/>
      <c r="D14" s="34" t="s">
        <v>404</v>
      </c>
      <c r="E14" s="168" t="s">
        <v>312</v>
      </c>
      <c r="F14" s="169"/>
      <c r="G14" s="17" t="s">
        <v>469</v>
      </c>
      <c r="H14" s="17" t="s">
        <v>405</v>
      </c>
      <c r="I14" s="23"/>
      <c r="J14" s="41"/>
      <c r="K14" s="12"/>
      <c r="L14" s="12"/>
      <c r="M14" s="49"/>
      <c r="N14" s="240"/>
      <c r="O14" s="241"/>
      <c r="P14" s="13"/>
      <c r="Q14" s="14" t="str">
        <f t="shared" si="0"/>
        <v>"new_pl_gender_label": "official_gender",</v>
      </c>
      <c r="R14" s="14" t="str">
        <f t="shared" si="1"/>
        <v>"official_gender": "string",</v>
      </c>
    </row>
    <row r="15" spans="1:18" ht="15.75" customHeight="1" outlineLevel="1">
      <c r="A15" s="37" t="s">
        <v>483</v>
      </c>
      <c r="B15" s="34" t="s">
        <v>78</v>
      </c>
      <c r="C15" s="36"/>
      <c r="D15" s="34" t="s">
        <v>484</v>
      </c>
      <c r="E15" s="168" t="s">
        <v>312</v>
      </c>
      <c r="F15" s="169"/>
      <c r="G15" s="17" t="s">
        <v>469</v>
      </c>
      <c r="H15" s="17" t="s">
        <v>485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"_new_id_officialtype_value_label": "official_desc",</v>
      </c>
      <c r="R15" s="14" t="str">
        <f t="shared" si="1"/>
        <v>"official_desc": "string",</v>
      </c>
    </row>
    <row r="16" spans="1:18" ht="15.75" customHeight="1" outlineLevel="1">
      <c r="A16" s="37" t="s">
        <v>486</v>
      </c>
      <c r="B16" s="34" t="s">
        <v>78</v>
      </c>
      <c r="C16" s="36"/>
      <c r="D16" s="16" t="s">
        <v>487</v>
      </c>
      <c r="E16" s="168" t="s">
        <v>312</v>
      </c>
      <c r="F16" s="169"/>
      <c r="G16" s="17" t="s">
        <v>469</v>
      </c>
      <c r="H16" s="17" t="s">
        <v>488</v>
      </c>
      <c r="I16" s="23"/>
      <c r="J16" s="41"/>
      <c r="K16" s="12"/>
      <c r="L16" s="12"/>
      <c r="M16" s="49"/>
      <c r="N16" s="240"/>
      <c r="O16" s="241"/>
      <c r="P16" s="13"/>
      <c r="Q16" s="14" t="str">
        <f t="shared" si="0"/>
        <v>"new_pl_supported_label": "official_support_type",</v>
      </c>
      <c r="R16" s="14" t="str">
        <f t="shared" si="1"/>
        <v>"official_support_type": "string",</v>
      </c>
    </row>
    <row r="17" spans="1:22" ht="15.75" customHeight="1" outlineLevel="1">
      <c r="A17" s="37" t="s">
        <v>459</v>
      </c>
      <c r="B17" s="34" t="s">
        <v>78</v>
      </c>
      <c r="C17" s="36"/>
      <c r="D17" s="34" t="s">
        <v>460</v>
      </c>
      <c r="E17" s="168" t="s">
        <v>312</v>
      </c>
      <c r="F17" s="169"/>
      <c r="G17" s="17" t="s">
        <v>469</v>
      </c>
      <c r="H17" s="17" t="s">
        <v>461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"new_id_type_label": "identification_type",</v>
      </c>
      <c r="R17" s="14" t="str">
        <f t="shared" si="1"/>
        <v>"identification_type": "string",</v>
      </c>
    </row>
    <row r="18" spans="1:22" ht="15.75" customHeight="1" outlineLevel="1">
      <c r="A18" s="37" t="s">
        <v>489</v>
      </c>
      <c r="B18" s="34" t="s">
        <v>217</v>
      </c>
      <c r="C18" s="36"/>
      <c r="D18" s="34" t="s">
        <v>490</v>
      </c>
      <c r="E18" s="168" t="s">
        <v>312</v>
      </c>
      <c r="F18" s="169"/>
      <c r="G18" s="17" t="s">
        <v>469</v>
      </c>
      <c r="H18" s="22" t="s">
        <v>491</v>
      </c>
      <c r="I18" s="23"/>
      <c r="J18" s="41"/>
      <c r="K18" s="12"/>
      <c r="L18" s="12"/>
      <c r="M18" s="49"/>
      <c r="N18" s="240"/>
      <c r="O18" s="241"/>
      <c r="P18" s="13"/>
      <c r="Q18" s="14" t="str">
        <f t="shared" si="0"/>
        <v>"new_f_salary_label": "salary",</v>
      </c>
      <c r="R18" s="14" t="str">
        <f t="shared" si="1"/>
        <v>"salary": "float64",</v>
      </c>
    </row>
    <row r="19" spans="1:22" ht="15.75" customHeight="1" outlineLevel="1">
      <c r="A19" s="37" t="s">
        <v>492</v>
      </c>
      <c r="B19" s="34" t="s">
        <v>111</v>
      </c>
      <c r="C19" s="36"/>
      <c r="D19" s="34" t="s">
        <v>493</v>
      </c>
      <c r="E19" s="168" t="s">
        <v>312</v>
      </c>
      <c r="F19" s="169"/>
      <c r="G19" s="17" t="s">
        <v>469</v>
      </c>
      <c r="H19" s="17" t="s">
        <v>494</v>
      </c>
      <c r="I19" s="23"/>
      <c r="J19" s="41"/>
      <c r="K19" s="12"/>
      <c r="L19" s="12"/>
      <c r="M19" s="49"/>
      <c r="N19" s="240"/>
      <c r="O19" s="241"/>
      <c r="P19" s="13"/>
      <c r="Q19" s="14" t="str">
        <f>CONCATENATE($Q$2,H19,$R$2,A19,$Q$2,",")</f>
        <v>"new_pl_is_vaad_menahel": "is_vaad_menahel",</v>
      </c>
      <c r="R19" s="14" t="str">
        <f t="shared" si="1"/>
        <v>"is_vaad_menahel": "Int64",</v>
      </c>
    </row>
    <row r="20" spans="1:22" ht="15.75" customHeight="1" outlineLevel="1">
      <c r="A20" s="37" t="s">
        <v>335</v>
      </c>
      <c r="B20" s="34" t="s">
        <v>111</v>
      </c>
      <c r="C20" s="36"/>
      <c r="D20" s="34" t="s">
        <v>336</v>
      </c>
      <c r="E20" s="168" t="s">
        <v>312</v>
      </c>
      <c r="F20" s="169"/>
      <c r="G20" s="17" t="s">
        <v>469</v>
      </c>
      <c r="H20" s="17" t="s">
        <v>337</v>
      </c>
      <c r="I20" s="23"/>
      <c r="J20" s="41"/>
      <c r="K20" s="12"/>
      <c r="L20" s="12"/>
      <c r="M20" s="49"/>
      <c r="N20" s="42"/>
      <c r="O20" s="43"/>
      <c r="P20" s="13"/>
      <c r="Q20" s="14" t="str">
        <f>CONCATENATE($Q$2,H20,$R$2,A20,$Q$2,",")</f>
        <v>"statecode": "is_inactive",</v>
      </c>
      <c r="R20" s="14" t="str">
        <f t="shared" si="1"/>
        <v>"is_inactive": "Int64",</v>
      </c>
    </row>
    <row r="21" spans="1:22" ht="15.75" customHeight="1" outlineLevel="1">
      <c r="A21" s="37" t="s">
        <v>338</v>
      </c>
      <c r="B21" s="34" t="s">
        <v>111</v>
      </c>
      <c r="C21" s="36"/>
      <c r="D21" s="34" t="s">
        <v>340</v>
      </c>
      <c r="E21" s="46" t="s">
        <v>312</v>
      </c>
      <c r="F21" s="47"/>
      <c r="G21" s="17" t="s">
        <v>469</v>
      </c>
      <c r="H21" s="22" t="s">
        <v>341</v>
      </c>
      <c r="I21" s="23"/>
      <c r="J21" s="41"/>
      <c r="K21" s="12"/>
      <c r="L21" s="12"/>
      <c r="M21" s="49"/>
      <c r="N21" s="240"/>
      <c r="O21" s="241"/>
      <c r="P21" s="13"/>
      <c r="Q21" s="14" t="str">
        <f t="shared" si="0"/>
        <v>"statuscode": "status_code",</v>
      </c>
      <c r="R21" s="14" t="str">
        <f t="shared" ref="R21" si="2">CONCATENATE(H21,"::",B21," as ",A21,",")</f>
        <v>statuscode::Int64 as status_code,</v>
      </c>
    </row>
    <row r="22" spans="1:22" ht="15.75" customHeight="1" outlineLevel="1">
      <c r="A22" s="37" t="s">
        <v>342</v>
      </c>
      <c r="B22" s="34" t="s">
        <v>239</v>
      </c>
      <c r="C22" s="36"/>
      <c r="D22" s="34" t="s">
        <v>343</v>
      </c>
      <c r="E22" s="168" t="s">
        <v>312</v>
      </c>
      <c r="F22" s="169"/>
      <c r="G22" s="17" t="s">
        <v>469</v>
      </c>
      <c r="H22" s="17" t="s">
        <v>344</v>
      </c>
      <c r="I22" s="23"/>
      <c r="J22" s="41"/>
      <c r="K22" s="12"/>
      <c r="L22" s="12"/>
      <c r="M22" s="49"/>
      <c r="N22" s="240"/>
      <c r="O22" s="241"/>
      <c r="P22" s="13"/>
      <c r="Q22" s="14" t="str">
        <f t="shared" si="0"/>
        <v>"modifiedon": "modified_on_date",</v>
      </c>
      <c r="R22" s="14" t="str">
        <f t="shared" ref="R22:R25" si="3">CONCATENATE(H22,"::",B22," as ",A22,",")</f>
        <v>modifiedon::datetime as modified_on_date,</v>
      </c>
    </row>
    <row r="23" spans="1:22" ht="15.75" customHeight="1" outlineLevel="1">
      <c r="A23" s="37"/>
      <c r="B23" s="34"/>
      <c r="C23" s="36"/>
      <c r="D23" s="34"/>
      <c r="E23" s="168"/>
      <c r="F23" s="169"/>
      <c r="G23" s="17"/>
      <c r="H23" s="17"/>
      <c r="I23" s="48"/>
      <c r="J23" s="41"/>
      <c r="K23" s="12"/>
      <c r="L23" s="12"/>
      <c r="M23" s="45"/>
      <c r="N23" s="42"/>
      <c r="O23" s="43"/>
      <c r="P23" s="13"/>
      <c r="Q23" s="14" t="str">
        <f t="shared" ref="Q23:Q25" si="4">CONCATENATE($Q$2,H23,$R$2,A23,$Q$2,",")</f>
        <v>"": "",</v>
      </c>
      <c r="R23" s="14" t="str">
        <f t="shared" si="3"/>
        <v>:: as ,</v>
      </c>
    </row>
    <row r="24" spans="1:22" ht="15.75" customHeight="1" outlineLevel="1">
      <c r="A24" s="37"/>
      <c r="B24" s="34"/>
      <c r="C24" s="36"/>
      <c r="D24" s="34"/>
      <c r="E24" s="168"/>
      <c r="F24" s="169"/>
      <c r="G24" s="17"/>
      <c r="H24" s="22"/>
      <c r="I24" s="23"/>
      <c r="J24" s="41"/>
      <c r="K24" s="12"/>
      <c r="L24" s="12"/>
      <c r="M24" s="45"/>
      <c r="N24" s="240"/>
      <c r="O24" s="241"/>
      <c r="P24" s="13"/>
      <c r="Q24" s="14" t="str">
        <f t="shared" si="4"/>
        <v>"": "",</v>
      </c>
      <c r="R24" s="14" t="str">
        <f t="shared" si="3"/>
        <v>:: as ,</v>
      </c>
    </row>
    <row r="25" spans="1:22" ht="15.75" customHeight="1" outlineLevel="1">
      <c r="A25" s="38" t="s">
        <v>64</v>
      </c>
      <c r="B25" s="39"/>
      <c r="C25" s="40"/>
      <c r="D25" s="9"/>
      <c r="E25" s="168"/>
      <c r="F25" s="169"/>
      <c r="G25" s="17"/>
      <c r="H25" s="25"/>
      <c r="I25" s="24"/>
      <c r="J25" s="51"/>
      <c r="K25" s="3"/>
      <c r="L25" s="3"/>
      <c r="M25" s="49"/>
      <c r="N25" s="242"/>
      <c r="O25" s="243"/>
      <c r="P25" s="4"/>
      <c r="Q25" s="14" t="str">
        <f t="shared" si="4"/>
        <v>"": "Leave Empty",</v>
      </c>
      <c r="R25" s="14" t="str">
        <f t="shared" si="3"/>
        <v>:: as Leave Empty,</v>
      </c>
    </row>
    <row r="26" spans="1:22" ht="15.75" customHeight="1">
      <c r="E26" s="170"/>
      <c r="F26" s="146"/>
      <c r="G26" s="171"/>
      <c r="H26" s="155"/>
      <c r="I26" s="26"/>
      <c r="N26" s="226"/>
      <c r="O26" s="226"/>
      <c r="Q26" s="5" t="s">
        <v>178</v>
      </c>
      <c r="R26" s="5" t="s">
        <v>178</v>
      </c>
    </row>
    <row r="27" spans="1:22" ht="15.75" customHeight="1"/>
    <row r="28" spans="1:22" s="18" customFormat="1" ht="15.75" customHeight="1">
      <c r="E28" s="21"/>
      <c r="F28" s="44"/>
      <c r="G28" s="27"/>
      <c r="J28"/>
      <c r="K28"/>
      <c r="L28"/>
      <c r="M28"/>
      <c r="N28"/>
      <c r="O28"/>
      <c r="P28"/>
      <c r="Q28"/>
      <c r="R28"/>
      <c r="S28"/>
      <c r="T28"/>
      <c r="U28"/>
      <c r="V28"/>
    </row>
    <row r="29" spans="1:22" s="18" customFormat="1" ht="15.75" customHeight="1">
      <c r="E29" s="21"/>
      <c r="F29" s="44"/>
      <c r="G29" s="27"/>
      <c r="J29"/>
      <c r="K29"/>
      <c r="L29"/>
      <c r="M29"/>
      <c r="N29"/>
      <c r="O29"/>
      <c r="P29"/>
      <c r="Q29"/>
      <c r="R29"/>
      <c r="S29"/>
      <c r="T29"/>
      <c r="U29"/>
      <c r="V29"/>
    </row>
    <row r="30" spans="1:22" s="18" customFormat="1" ht="15.75" customHeight="1">
      <c r="E30" s="21"/>
      <c r="F30" s="44"/>
      <c r="G30" s="27"/>
      <c r="J30"/>
      <c r="K30"/>
      <c r="L30"/>
      <c r="M30"/>
      <c r="N30"/>
      <c r="O30"/>
      <c r="P30"/>
      <c r="Q30"/>
      <c r="R30"/>
      <c r="S30"/>
      <c r="T30"/>
      <c r="U30"/>
      <c r="V30"/>
    </row>
    <row r="31" spans="1:22" s="18" customFormat="1" ht="15.75" customHeight="1">
      <c r="E31" s="21"/>
      <c r="F31" s="44"/>
      <c r="G31" s="27"/>
      <c r="J31"/>
      <c r="K31"/>
      <c r="L31"/>
      <c r="M31"/>
      <c r="N31"/>
      <c r="O31"/>
      <c r="P31"/>
      <c r="Q31"/>
      <c r="R31"/>
      <c r="S31"/>
      <c r="T31"/>
      <c r="U31"/>
      <c r="V31"/>
    </row>
    <row r="32" spans="1:22" s="18" customFormat="1" ht="15.75" customHeight="1">
      <c r="E32" s="21"/>
      <c r="F32" s="44"/>
      <c r="G32" s="27"/>
      <c r="J32"/>
      <c r="K32"/>
      <c r="L32"/>
      <c r="M32"/>
      <c r="N32"/>
      <c r="O32"/>
      <c r="P32"/>
      <c r="Q32"/>
      <c r="R32"/>
      <c r="S32"/>
      <c r="T32"/>
      <c r="U32"/>
      <c r="V32"/>
    </row>
    <row r="33" spans="5:22" s="18" customFormat="1" ht="15.75" customHeight="1">
      <c r="E33" s="21"/>
      <c r="F33" s="44"/>
      <c r="G33" s="27"/>
      <c r="J33"/>
      <c r="K33"/>
      <c r="L33"/>
      <c r="M33"/>
      <c r="N33"/>
      <c r="O33"/>
      <c r="P33"/>
      <c r="Q33"/>
      <c r="R33"/>
      <c r="S33"/>
      <c r="T33"/>
      <c r="U33"/>
      <c r="V33"/>
    </row>
    <row r="34" spans="5:22" s="18" customFormat="1" ht="15.75" customHeight="1">
      <c r="E34" s="21"/>
      <c r="F34" s="44"/>
      <c r="G34" s="27"/>
      <c r="J34"/>
      <c r="K34"/>
      <c r="L34"/>
      <c r="M34"/>
      <c r="N34"/>
      <c r="O34"/>
      <c r="P34"/>
      <c r="Q34"/>
      <c r="R34"/>
      <c r="S34"/>
      <c r="T34"/>
      <c r="U34"/>
      <c r="V34"/>
    </row>
    <row r="35" spans="5:22" s="18" customFormat="1" ht="15.75" customHeight="1">
      <c r="E35" s="21"/>
      <c r="F35" s="44"/>
      <c r="G35" s="27"/>
      <c r="J35"/>
      <c r="K35"/>
      <c r="L35"/>
      <c r="M35"/>
      <c r="N35"/>
      <c r="O35"/>
      <c r="P35"/>
      <c r="Q35"/>
      <c r="R35"/>
      <c r="S35"/>
      <c r="T35"/>
      <c r="U35"/>
      <c r="V35"/>
    </row>
    <row r="36" spans="5:22" s="18" customFormat="1" ht="15.75" customHeight="1">
      <c r="E36" s="21"/>
      <c r="F36" s="44"/>
      <c r="G36" s="27"/>
      <c r="J36"/>
      <c r="K36"/>
      <c r="L36"/>
      <c r="M36"/>
      <c r="N36"/>
      <c r="O36"/>
      <c r="P36"/>
      <c r="Q36"/>
      <c r="R36"/>
      <c r="S36"/>
      <c r="T36"/>
      <c r="U36"/>
      <c r="V36"/>
    </row>
    <row r="37" spans="5:22" s="18" customFormat="1" ht="15.75" customHeight="1">
      <c r="E37" s="21"/>
      <c r="F37" s="44"/>
      <c r="G37" s="27"/>
      <c r="J37"/>
      <c r="K37"/>
      <c r="L37"/>
      <c r="M37"/>
      <c r="N37"/>
      <c r="O37"/>
      <c r="P37"/>
      <c r="Q37"/>
      <c r="R37"/>
      <c r="S37"/>
      <c r="T37"/>
      <c r="U37"/>
      <c r="V37"/>
    </row>
    <row r="38" spans="5:22" s="18" customFormat="1" ht="15.75" customHeight="1">
      <c r="E38" s="21"/>
      <c r="F38" s="44"/>
      <c r="G38" s="27"/>
      <c r="J38"/>
      <c r="K38"/>
      <c r="L38"/>
      <c r="M38"/>
      <c r="N38"/>
      <c r="O38"/>
      <c r="P38"/>
      <c r="Q38"/>
      <c r="R38"/>
      <c r="S38"/>
      <c r="T38"/>
      <c r="U38"/>
      <c r="V38"/>
    </row>
    <row r="39" spans="5:22" s="18" customFormat="1" ht="15.75" customHeight="1">
      <c r="E39" s="21"/>
      <c r="F39" s="44"/>
      <c r="G39" s="27"/>
      <c r="J39"/>
      <c r="K39"/>
      <c r="L39"/>
      <c r="M39"/>
      <c r="N39"/>
      <c r="O39"/>
      <c r="P39"/>
      <c r="Q39"/>
      <c r="R39"/>
      <c r="S39"/>
      <c r="T39"/>
      <c r="U39"/>
      <c r="V39"/>
    </row>
    <row r="40" spans="5:22" s="18" customFormat="1" ht="15.75" customHeight="1">
      <c r="E40" s="21"/>
      <c r="F40" s="44"/>
      <c r="G40" s="27"/>
      <c r="J40"/>
      <c r="K40"/>
      <c r="L40"/>
      <c r="M40"/>
      <c r="N40"/>
      <c r="O40"/>
      <c r="P40"/>
      <c r="Q40"/>
      <c r="R40"/>
      <c r="S40"/>
      <c r="T40"/>
      <c r="U40"/>
      <c r="V40"/>
    </row>
    <row r="41" spans="5:22" s="18" customFormat="1" ht="15.75" customHeight="1">
      <c r="E41" s="21"/>
      <c r="F41" s="44"/>
      <c r="G41" s="27"/>
      <c r="J41"/>
      <c r="K41"/>
      <c r="L41"/>
      <c r="M41"/>
      <c r="N41"/>
      <c r="O41"/>
      <c r="P41"/>
      <c r="Q41"/>
      <c r="R41"/>
      <c r="S41"/>
      <c r="T41"/>
      <c r="U41"/>
      <c r="V41"/>
    </row>
    <row r="42" spans="5:22" s="18" customFormat="1" ht="15.75" customHeight="1">
      <c r="E42" s="21"/>
      <c r="F42" s="44"/>
      <c r="G42" s="27"/>
      <c r="J42"/>
      <c r="K42"/>
      <c r="L42"/>
      <c r="M42"/>
      <c r="N42"/>
      <c r="O42"/>
      <c r="P42"/>
      <c r="Q42"/>
      <c r="R42"/>
      <c r="S42"/>
      <c r="T42"/>
      <c r="U42"/>
      <c r="V42"/>
    </row>
    <row r="43" spans="5:22" s="18" customFormat="1" ht="15.75" customHeight="1">
      <c r="E43" s="21"/>
      <c r="F43" s="44"/>
      <c r="G43" s="27"/>
      <c r="J43"/>
      <c r="K43"/>
      <c r="L43"/>
      <c r="M43"/>
      <c r="N43"/>
      <c r="O43"/>
      <c r="P43"/>
      <c r="Q43"/>
      <c r="R43"/>
      <c r="S43"/>
      <c r="T43"/>
      <c r="U43"/>
      <c r="V43"/>
    </row>
    <row r="44" spans="5:22" s="18" customFormat="1" ht="15.75" customHeight="1">
      <c r="E44" s="21"/>
      <c r="F44" s="44"/>
      <c r="G44" s="27"/>
      <c r="J44"/>
      <c r="K44"/>
      <c r="L44"/>
      <c r="M44"/>
      <c r="N44"/>
      <c r="O44"/>
      <c r="P44"/>
      <c r="Q44"/>
      <c r="R44"/>
      <c r="S44"/>
      <c r="T44"/>
      <c r="U44"/>
      <c r="V44"/>
    </row>
    <row r="45" spans="5:22" s="18" customFormat="1" ht="15.75" customHeight="1">
      <c r="E45" s="21"/>
      <c r="F45" s="44"/>
      <c r="G45" s="27"/>
      <c r="J45"/>
      <c r="K45"/>
      <c r="L45"/>
      <c r="M45"/>
      <c r="N45"/>
      <c r="O45"/>
      <c r="P45"/>
      <c r="Q45"/>
      <c r="R45"/>
      <c r="S45"/>
      <c r="T45"/>
      <c r="U45"/>
      <c r="V45"/>
    </row>
    <row r="46" spans="5:22" s="18" customFormat="1" ht="15.75" customHeight="1">
      <c r="E46" s="21"/>
      <c r="F46" s="44"/>
      <c r="G46" s="27"/>
      <c r="J46"/>
      <c r="K46"/>
      <c r="L46"/>
      <c r="M46"/>
      <c r="N46"/>
      <c r="O46"/>
      <c r="P46"/>
      <c r="Q46"/>
      <c r="R46"/>
      <c r="S46"/>
      <c r="T46"/>
      <c r="U46"/>
      <c r="V46"/>
    </row>
    <row r="47" spans="5:22" s="18" customFormat="1" ht="15.75" customHeight="1">
      <c r="E47" s="21"/>
      <c r="F47" s="44"/>
      <c r="G47" s="27"/>
      <c r="J47"/>
      <c r="K47"/>
      <c r="L47"/>
      <c r="M47"/>
      <c r="N47"/>
      <c r="O47"/>
      <c r="P47"/>
      <c r="Q47"/>
      <c r="R47"/>
      <c r="S47"/>
      <c r="T47"/>
      <c r="U47"/>
      <c r="V47"/>
    </row>
    <row r="48" spans="5:22" s="18" customFormat="1" ht="15.75" customHeight="1">
      <c r="E48" s="21"/>
      <c r="F48" s="44"/>
      <c r="G48" s="27"/>
      <c r="J48"/>
      <c r="K48"/>
      <c r="L48"/>
      <c r="M48"/>
      <c r="N48"/>
      <c r="O48"/>
      <c r="P48"/>
      <c r="Q48"/>
      <c r="R48"/>
      <c r="S48"/>
      <c r="T48"/>
      <c r="U48"/>
      <c r="V48"/>
    </row>
    <row r="49" spans="5:22" s="18" customFormat="1" ht="15.75" customHeight="1">
      <c r="E49" s="21"/>
      <c r="F49" s="44"/>
      <c r="G49" s="27"/>
      <c r="J49"/>
      <c r="K49"/>
      <c r="L49"/>
      <c r="M49"/>
      <c r="N49"/>
      <c r="O49"/>
      <c r="P49"/>
      <c r="Q49"/>
      <c r="R49"/>
      <c r="S49"/>
      <c r="T49"/>
      <c r="U49"/>
      <c r="V49"/>
    </row>
    <row r="50" spans="5:22" s="18" customFormat="1" ht="15.75" customHeight="1">
      <c r="E50" s="21"/>
      <c r="F50" s="44"/>
      <c r="G50" s="27"/>
      <c r="J50"/>
      <c r="K50"/>
      <c r="L50"/>
      <c r="M50"/>
      <c r="N50"/>
      <c r="O50"/>
      <c r="P50"/>
      <c r="Q50"/>
      <c r="R50"/>
      <c r="S50"/>
      <c r="T50"/>
      <c r="U50"/>
      <c r="V50"/>
    </row>
    <row r="51" spans="5:22" s="18" customFormat="1" ht="15.75" customHeight="1">
      <c r="E51" s="21"/>
      <c r="F51" s="44"/>
      <c r="G51" s="27"/>
      <c r="J51"/>
      <c r="K51"/>
      <c r="L51"/>
      <c r="M51"/>
      <c r="N51"/>
      <c r="O51"/>
      <c r="P51"/>
      <c r="Q51"/>
      <c r="R51"/>
      <c r="S51"/>
      <c r="T51"/>
      <c r="U51"/>
      <c r="V51"/>
    </row>
    <row r="52" spans="5:22" s="18" customFormat="1" ht="15.75" customHeight="1">
      <c r="E52" s="21"/>
      <c r="F52" s="44"/>
      <c r="G52" s="27"/>
      <c r="J52"/>
      <c r="K52"/>
      <c r="L52"/>
      <c r="M52"/>
      <c r="N52"/>
      <c r="O52"/>
      <c r="P52"/>
      <c r="Q52"/>
      <c r="R52"/>
      <c r="S52"/>
      <c r="T52"/>
      <c r="U52"/>
      <c r="V52"/>
    </row>
    <row r="53" spans="5:22" s="18" customFormat="1" ht="15.75" customHeight="1">
      <c r="E53" s="21"/>
      <c r="F53" s="44"/>
      <c r="G53" s="27"/>
      <c r="J53"/>
      <c r="K53"/>
      <c r="L53"/>
      <c r="M53"/>
      <c r="N53"/>
      <c r="O53"/>
      <c r="P53"/>
      <c r="Q53"/>
      <c r="R53"/>
      <c r="S53"/>
      <c r="T53"/>
      <c r="U53"/>
      <c r="V53"/>
    </row>
    <row r="54" spans="5:22" s="18" customFormat="1" ht="15.75" customHeight="1">
      <c r="E54" s="21"/>
      <c r="F54" s="44"/>
      <c r="G54" s="27"/>
      <c r="J54"/>
      <c r="K54"/>
      <c r="L54"/>
      <c r="M54"/>
      <c r="N54"/>
      <c r="O54"/>
      <c r="P54"/>
      <c r="Q54"/>
      <c r="R54"/>
      <c r="S54"/>
      <c r="T54"/>
      <c r="U54"/>
      <c r="V54"/>
    </row>
    <row r="55" spans="5:22" s="18" customFormat="1" ht="15.75" customHeight="1">
      <c r="E55" s="21"/>
      <c r="F55" s="44"/>
      <c r="G55" s="27"/>
      <c r="J55"/>
      <c r="K55"/>
      <c r="L55"/>
      <c r="M55"/>
      <c r="N55"/>
      <c r="O55"/>
      <c r="P55"/>
      <c r="Q55"/>
      <c r="R55"/>
      <c r="S55"/>
      <c r="T55"/>
      <c r="U55"/>
      <c r="V55"/>
    </row>
    <row r="56" spans="5:22" s="18" customFormat="1" ht="15.75" customHeight="1">
      <c r="E56" s="21"/>
      <c r="F56" s="44"/>
      <c r="G56" s="27"/>
      <c r="J56"/>
      <c r="K56"/>
      <c r="L56"/>
      <c r="M56"/>
      <c r="N56"/>
      <c r="O56"/>
      <c r="P56"/>
      <c r="Q56"/>
      <c r="R56"/>
      <c r="S56"/>
      <c r="T56"/>
      <c r="U56"/>
      <c r="V56"/>
    </row>
    <row r="57" spans="5:22" s="18" customFormat="1" ht="15.75" customHeight="1">
      <c r="E57" s="21"/>
      <c r="F57" s="44"/>
      <c r="G57" s="27"/>
      <c r="J57"/>
      <c r="K57"/>
      <c r="L57"/>
      <c r="M57"/>
      <c r="N57"/>
      <c r="O57"/>
      <c r="P57"/>
      <c r="Q57"/>
      <c r="R57"/>
      <c r="S57"/>
      <c r="T57"/>
      <c r="U57"/>
      <c r="V57"/>
    </row>
    <row r="58" spans="5:22" s="18" customFormat="1" ht="15.75" customHeight="1">
      <c r="E58" s="21"/>
      <c r="F58" s="44"/>
      <c r="G58" s="27"/>
      <c r="J58"/>
      <c r="K58"/>
      <c r="L58"/>
      <c r="M58"/>
      <c r="N58"/>
      <c r="O58"/>
      <c r="P58"/>
      <c r="Q58"/>
      <c r="R58"/>
      <c r="S58"/>
      <c r="T58"/>
      <c r="U58"/>
      <c r="V58"/>
    </row>
    <row r="59" spans="5:22" s="18" customFormat="1" ht="15.75" customHeight="1">
      <c r="E59" s="21"/>
      <c r="F59" s="44"/>
      <c r="G59" s="27"/>
      <c r="J59"/>
      <c r="K59"/>
      <c r="L59"/>
      <c r="M59"/>
      <c r="N59"/>
      <c r="O59"/>
      <c r="P59"/>
      <c r="Q59"/>
      <c r="R59"/>
      <c r="S59"/>
      <c r="T59"/>
      <c r="U59"/>
      <c r="V59"/>
    </row>
    <row r="60" spans="5:22" s="18" customFormat="1" ht="15.75" customHeight="1">
      <c r="E60" s="21"/>
      <c r="F60" s="44"/>
      <c r="G60" s="27"/>
      <c r="J60"/>
      <c r="K60"/>
      <c r="L60"/>
      <c r="M60"/>
      <c r="N60"/>
      <c r="O60"/>
      <c r="P60"/>
      <c r="Q60"/>
      <c r="R60"/>
      <c r="S60"/>
      <c r="T60"/>
      <c r="U60"/>
      <c r="V60"/>
    </row>
    <row r="61" spans="5:22" s="18" customFormat="1" ht="15.75" customHeight="1">
      <c r="E61" s="21"/>
      <c r="F61" s="44"/>
      <c r="G61" s="27"/>
      <c r="J61"/>
      <c r="K61"/>
      <c r="L61"/>
      <c r="M61"/>
      <c r="N61"/>
      <c r="O61"/>
      <c r="P61"/>
      <c r="Q61"/>
      <c r="R61"/>
      <c r="S61"/>
      <c r="T61"/>
      <c r="U61"/>
      <c r="V61"/>
    </row>
    <row r="62" spans="5:22" s="18" customFormat="1" ht="15.75" customHeight="1">
      <c r="E62" s="21"/>
      <c r="F62" s="44"/>
      <c r="G62" s="27"/>
      <c r="J62"/>
      <c r="K62"/>
      <c r="L62"/>
      <c r="M62"/>
      <c r="N62"/>
      <c r="O62"/>
      <c r="P62"/>
      <c r="Q62"/>
      <c r="R62"/>
      <c r="S62"/>
      <c r="T62"/>
      <c r="U62"/>
      <c r="V62"/>
    </row>
    <row r="63" spans="5:22" s="18" customFormat="1" ht="15.75" customHeight="1">
      <c r="E63" s="21"/>
      <c r="F63" s="44"/>
      <c r="G63" s="27"/>
      <c r="J63"/>
      <c r="K63"/>
      <c r="L63"/>
      <c r="M63"/>
      <c r="N63"/>
      <c r="O63"/>
      <c r="P63"/>
      <c r="Q63"/>
      <c r="R63"/>
      <c r="S63"/>
      <c r="T63"/>
      <c r="U63"/>
      <c r="V63"/>
    </row>
    <row r="64" spans="5:22" s="18" customFormat="1" ht="15.75" customHeight="1">
      <c r="E64" s="21"/>
      <c r="F64" s="44"/>
      <c r="G64" s="27"/>
      <c r="J64"/>
      <c r="K64"/>
      <c r="L64"/>
      <c r="M64"/>
      <c r="N64"/>
      <c r="O64"/>
      <c r="P64"/>
      <c r="Q64"/>
      <c r="R64"/>
      <c r="S64"/>
      <c r="T64"/>
      <c r="U64"/>
      <c r="V64"/>
    </row>
    <row r="65" spans="5:22" s="18" customFormat="1" ht="15.75" customHeight="1">
      <c r="E65" s="21"/>
      <c r="F65" s="44"/>
      <c r="G65" s="27"/>
      <c r="J65"/>
      <c r="K65"/>
      <c r="L65"/>
      <c r="M65"/>
      <c r="N65"/>
      <c r="O65"/>
      <c r="P65"/>
      <c r="Q65"/>
      <c r="R65"/>
      <c r="S65"/>
      <c r="T65"/>
      <c r="U65"/>
      <c r="V65"/>
    </row>
    <row r="66" spans="5:22" s="18" customFormat="1" ht="15.75" customHeight="1">
      <c r="E66" s="21"/>
      <c r="F66" s="44"/>
      <c r="G66" s="27"/>
      <c r="J66"/>
      <c r="K66"/>
      <c r="L66"/>
      <c r="M66"/>
      <c r="N66"/>
      <c r="O66"/>
      <c r="P66"/>
      <c r="Q66"/>
      <c r="R66"/>
      <c r="S66"/>
      <c r="T66"/>
      <c r="U66"/>
      <c r="V66"/>
    </row>
    <row r="67" spans="5:22" s="18" customFormat="1" ht="15.75" customHeight="1">
      <c r="E67" s="21"/>
      <c r="F67" s="44"/>
      <c r="G67" s="27"/>
      <c r="J67"/>
      <c r="K67"/>
      <c r="L67"/>
      <c r="M67"/>
      <c r="N67"/>
      <c r="O67"/>
      <c r="P67"/>
      <c r="Q67"/>
      <c r="R67"/>
      <c r="S67"/>
      <c r="T67"/>
      <c r="U67"/>
      <c r="V67"/>
    </row>
    <row r="68" spans="5:22" s="18" customFormat="1" ht="15.75" customHeight="1">
      <c r="E68" s="21"/>
      <c r="F68" s="44"/>
      <c r="G68" s="27"/>
      <c r="J68"/>
      <c r="K68"/>
      <c r="L68"/>
      <c r="M68"/>
      <c r="N68"/>
      <c r="O68"/>
      <c r="P68"/>
      <c r="Q68"/>
      <c r="R68"/>
      <c r="S68"/>
      <c r="T68"/>
      <c r="U68"/>
      <c r="V68"/>
    </row>
    <row r="69" spans="5:22" s="18" customFormat="1" ht="15.75" customHeight="1">
      <c r="E69" s="21"/>
      <c r="F69" s="44"/>
      <c r="G69" s="27"/>
      <c r="J69"/>
      <c r="K69"/>
      <c r="L69"/>
      <c r="M69"/>
      <c r="N69"/>
      <c r="O69"/>
      <c r="P69"/>
      <c r="Q69"/>
      <c r="R69"/>
      <c r="S69"/>
      <c r="T69"/>
      <c r="U69"/>
      <c r="V69"/>
    </row>
    <row r="70" spans="5:22" s="18" customFormat="1" ht="15.75" customHeight="1">
      <c r="E70" s="21"/>
      <c r="F70" s="44"/>
      <c r="G70" s="27"/>
      <c r="J70"/>
      <c r="K70"/>
      <c r="L70"/>
      <c r="M70"/>
      <c r="N70"/>
      <c r="O70"/>
      <c r="P70"/>
      <c r="Q70"/>
      <c r="R70"/>
      <c r="S70"/>
      <c r="T70"/>
      <c r="U70"/>
      <c r="V70"/>
    </row>
    <row r="71" spans="5:22" s="18" customFormat="1" ht="15.75" customHeight="1">
      <c r="E71" s="21"/>
      <c r="F71" s="44"/>
      <c r="G71" s="27"/>
      <c r="J71"/>
      <c r="K71"/>
      <c r="L71"/>
      <c r="M71"/>
      <c r="N71"/>
      <c r="O71"/>
      <c r="P71"/>
      <c r="Q71"/>
      <c r="R71"/>
      <c r="S71"/>
      <c r="T71"/>
      <c r="U71"/>
      <c r="V71"/>
    </row>
    <row r="72" spans="5:22" s="18" customFormat="1" ht="15.75" customHeight="1">
      <c r="E72" s="21"/>
      <c r="F72" s="44"/>
      <c r="G72" s="27"/>
      <c r="J72"/>
      <c r="K72"/>
      <c r="L72"/>
      <c r="M72"/>
      <c r="N72"/>
      <c r="O72"/>
      <c r="P72"/>
      <c r="Q72"/>
      <c r="R72"/>
      <c r="S72"/>
      <c r="T72"/>
      <c r="U72"/>
      <c r="V72"/>
    </row>
    <row r="73" spans="5:22" s="18" customFormat="1" ht="15.75" customHeight="1">
      <c r="E73" s="21"/>
      <c r="F73" s="44"/>
      <c r="G73" s="27"/>
      <c r="J73"/>
      <c r="K73"/>
      <c r="L73"/>
      <c r="M73"/>
      <c r="N73"/>
      <c r="O73"/>
      <c r="P73"/>
      <c r="Q73"/>
      <c r="R73"/>
      <c r="S73"/>
      <c r="T73"/>
      <c r="U73"/>
      <c r="V73"/>
    </row>
    <row r="74" spans="5:22" s="18" customFormat="1" ht="15.75" customHeight="1">
      <c r="E74" s="21"/>
      <c r="F74" s="44"/>
      <c r="G74" s="27"/>
      <c r="J74"/>
      <c r="K74"/>
      <c r="L74"/>
      <c r="M74"/>
      <c r="N74"/>
      <c r="O74"/>
      <c r="P74"/>
      <c r="Q74"/>
      <c r="R74"/>
      <c r="S74"/>
      <c r="T74"/>
      <c r="U74"/>
      <c r="V74"/>
    </row>
    <row r="75" spans="5:22" s="18" customFormat="1" ht="15.75" customHeight="1">
      <c r="E75" s="21"/>
      <c r="F75" s="44"/>
      <c r="G75" s="27"/>
      <c r="J75"/>
      <c r="K75"/>
      <c r="L75"/>
      <c r="M75"/>
      <c r="N75"/>
      <c r="O75"/>
      <c r="P75"/>
      <c r="Q75"/>
      <c r="R75"/>
      <c r="S75"/>
      <c r="T75"/>
      <c r="U75"/>
      <c r="V75"/>
    </row>
    <row r="76" spans="5:22" s="18" customFormat="1" ht="15.75" customHeight="1">
      <c r="E76" s="21"/>
      <c r="F76" s="44"/>
      <c r="G76" s="27"/>
      <c r="J76"/>
      <c r="K76"/>
      <c r="L76"/>
      <c r="M76"/>
      <c r="N76"/>
      <c r="O76"/>
      <c r="P76"/>
      <c r="Q76"/>
      <c r="R76"/>
      <c r="S76"/>
      <c r="T76"/>
      <c r="U76"/>
      <c r="V76"/>
    </row>
    <row r="77" spans="5:22" s="18" customFormat="1" ht="15.75" customHeight="1">
      <c r="E77" s="21"/>
      <c r="F77" s="44"/>
      <c r="G77" s="2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5:22" s="18" customFormat="1" ht="15.75" customHeight="1">
      <c r="E78" s="21"/>
      <c r="F78" s="44"/>
      <c r="G78" s="27"/>
      <c r="J78"/>
      <c r="K78"/>
      <c r="L78"/>
      <c r="M78"/>
      <c r="N78"/>
      <c r="O78"/>
      <c r="P78"/>
      <c r="Q78"/>
      <c r="R78"/>
      <c r="S78"/>
      <c r="T78"/>
      <c r="U78"/>
      <c r="V78"/>
    </row>
    <row r="79" spans="5:22" s="18" customFormat="1" ht="15.75" customHeight="1">
      <c r="E79" s="21"/>
      <c r="F79" s="44"/>
      <c r="G79" s="27"/>
      <c r="J79"/>
      <c r="K79"/>
      <c r="L79"/>
      <c r="M79"/>
      <c r="N79"/>
      <c r="O79"/>
      <c r="P79"/>
      <c r="Q79"/>
      <c r="R79"/>
      <c r="S79"/>
      <c r="T79"/>
      <c r="U79"/>
      <c r="V79"/>
    </row>
    <row r="80" spans="5:22" s="18" customFormat="1" ht="15.75" customHeight="1">
      <c r="E80" s="21"/>
      <c r="F80" s="44"/>
      <c r="G80" s="27"/>
      <c r="J80"/>
      <c r="K80"/>
      <c r="L80"/>
      <c r="M80"/>
      <c r="N80"/>
      <c r="O80"/>
      <c r="P80"/>
      <c r="Q80"/>
      <c r="R80"/>
      <c r="S80"/>
      <c r="T80"/>
      <c r="U80"/>
      <c r="V80"/>
    </row>
    <row r="81" spans="5:22" s="18" customFormat="1" ht="15.75" customHeight="1">
      <c r="E81" s="21"/>
      <c r="F81" s="44"/>
      <c r="G81" s="27"/>
      <c r="J81"/>
      <c r="K81"/>
      <c r="L81"/>
      <c r="M81"/>
      <c r="N81"/>
      <c r="O81"/>
      <c r="P81"/>
      <c r="Q81"/>
      <c r="R81"/>
      <c r="S81"/>
      <c r="T81"/>
      <c r="U81"/>
      <c r="V81"/>
    </row>
    <row r="82" spans="5:22" s="18" customFormat="1" ht="15.75" customHeight="1">
      <c r="E82" s="21"/>
      <c r="F82" s="44"/>
      <c r="G82" s="27"/>
      <c r="J82"/>
      <c r="K82"/>
      <c r="L82"/>
      <c r="M82"/>
      <c r="N82"/>
      <c r="O82"/>
      <c r="P82"/>
      <c r="Q82"/>
      <c r="R82"/>
      <c r="S82"/>
      <c r="T82"/>
      <c r="U82"/>
      <c r="V82"/>
    </row>
    <row r="83" spans="5:22" s="18" customFormat="1" ht="15.75" customHeight="1">
      <c r="E83" s="21"/>
      <c r="F83" s="44"/>
      <c r="G83" s="27"/>
      <c r="J83"/>
      <c r="K83"/>
      <c r="L83"/>
      <c r="M83"/>
      <c r="N83"/>
      <c r="O83"/>
      <c r="P83"/>
      <c r="Q83"/>
      <c r="R83"/>
      <c r="S83"/>
      <c r="T83"/>
      <c r="U83"/>
      <c r="V83"/>
    </row>
    <row r="84" spans="5:22" s="18" customFormat="1" ht="15.75" customHeight="1">
      <c r="E84" s="21"/>
      <c r="F84" s="44"/>
      <c r="G84" s="27"/>
      <c r="J84"/>
      <c r="K84"/>
      <c r="L84"/>
      <c r="M84"/>
      <c r="N84"/>
      <c r="O84"/>
      <c r="P84"/>
      <c r="Q84"/>
      <c r="R84"/>
      <c r="S84"/>
      <c r="T84"/>
      <c r="U84"/>
      <c r="V84"/>
    </row>
    <row r="85" spans="5:22" s="18" customFormat="1" ht="15.75" customHeight="1">
      <c r="E85" s="21"/>
      <c r="F85" s="44"/>
      <c r="G85" s="27"/>
      <c r="J85"/>
      <c r="K85"/>
      <c r="L85"/>
      <c r="M85"/>
      <c r="N85"/>
      <c r="O85"/>
      <c r="P85"/>
      <c r="Q85"/>
      <c r="R85"/>
      <c r="S85"/>
      <c r="T85"/>
      <c r="U85"/>
      <c r="V85"/>
    </row>
    <row r="86" spans="5:22" s="18" customFormat="1" ht="15.75" customHeight="1">
      <c r="E86" s="21"/>
      <c r="F86" s="44"/>
      <c r="G86" s="27"/>
      <c r="J86"/>
      <c r="K86"/>
      <c r="L86"/>
      <c r="M86"/>
      <c r="N86"/>
      <c r="O86"/>
      <c r="P86"/>
      <c r="Q86"/>
      <c r="R86"/>
      <c r="S86"/>
      <c r="T86"/>
      <c r="U86"/>
      <c r="V86"/>
    </row>
    <row r="87" spans="5:22" s="18" customFormat="1" ht="15.75" customHeight="1">
      <c r="E87" s="21"/>
      <c r="F87" s="44"/>
      <c r="G87" s="27"/>
      <c r="J87"/>
      <c r="K87"/>
      <c r="L87"/>
      <c r="M87"/>
      <c r="N87"/>
      <c r="O87"/>
      <c r="P87"/>
      <c r="Q87"/>
      <c r="R87"/>
      <c r="S87"/>
      <c r="T87"/>
      <c r="U87"/>
      <c r="V87"/>
    </row>
    <row r="88" spans="5:22" s="18" customFormat="1" ht="15.75" customHeight="1">
      <c r="E88" s="21"/>
      <c r="F88" s="44"/>
      <c r="G88" s="27"/>
      <c r="J88"/>
      <c r="K88"/>
      <c r="L88"/>
      <c r="M88"/>
      <c r="N88"/>
      <c r="O88"/>
      <c r="P88"/>
      <c r="Q88"/>
      <c r="R88"/>
      <c r="S88"/>
      <c r="T88"/>
      <c r="U88"/>
      <c r="V88"/>
    </row>
    <row r="89" spans="5:22" s="18" customFormat="1" ht="15.75" customHeight="1">
      <c r="E89" s="21"/>
      <c r="F89" s="44"/>
      <c r="G89" s="27"/>
      <c r="J89"/>
      <c r="K89"/>
      <c r="L89"/>
      <c r="M89"/>
      <c r="N89"/>
      <c r="O89"/>
      <c r="P89"/>
      <c r="Q89"/>
      <c r="R89"/>
      <c r="S89"/>
      <c r="T89"/>
      <c r="U89"/>
      <c r="V89"/>
    </row>
    <row r="90" spans="5:22" s="18" customFormat="1" ht="15.75" customHeight="1">
      <c r="E90" s="21"/>
      <c r="F90" s="44"/>
      <c r="G90" s="27"/>
      <c r="J90"/>
      <c r="K90"/>
      <c r="L90"/>
      <c r="M90"/>
      <c r="N90"/>
      <c r="O90"/>
      <c r="P90"/>
      <c r="Q90"/>
      <c r="R90"/>
      <c r="S90"/>
      <c r="T90"/>
      <c r="U90"/>
      <c r="V90"/>
    </row>
    <row r="91" spans="5:22" s="18" customFormat="1" ht="15.75" customHeight="1">
      <c r="E91" s="21"/>
      <c r="F91" s="44"/>
      <c r="G91" s="27"/>
      <c r="J91"/>
      <c r="K91"/>
      <c r="L91"/>
      <c r="M91"/>
      <c r="N91"/>
      <c r="O91"/>
      <c r="P91"/>
      <c r="Q91"/>
      <c r="R91"/>
      <c r="S91"/>
      <c r="T91"/>
      <c r="U91"/>
      <c r="V91"/>
    </row>
    <row r="92" spans="5:22" s="18" customFormat="1" ht="15.75" customHeight="1">
      <c r="E92" s="21"/>
      <c r="F92" s="44"/>
      <c r="G92" s="27"/>
      <c r="J92"/>
      <c r="K92"/>
      <c r="L92"/>
      <c r="M92"/>
      <c r="N92"/>
      <c r="O92"/>
      <c r="P92"/>
      <c r="Q92"/>
      <c r="R92"/>
      <c r="S92"/>
      <c r="T92"/>
      <c r="U92"/>
      <c r="V92"/>
    </row>
    <row r="93" spans="5:22" s="18" customFormat="1" ht="15.75" customHeight="1">
      <c r="E93" s="21"/>
      <c r="F93" s="44"/>
      <c r="G93" s="27"/>
      <c r="J93"/>
      <c r="K93"/>
      <c r="L93"/>
      <c r="M93"/>
      <c r="N93"/>
      <c r="O93"/>
      <c r="P93"/>
      <c r="Q93"/>
      <c r="R93"/>
      <c r="S93"/>
      <c r="T93"/>
      <c r="U93"/>
      <c r="V93"/>
    </row>
    <row r="94" spans="5:22" s="18" customFormat="1" ht="15.75" customHeight="1">
      <c r="E94" s="21"/>
      <c r="F94" s="44"/>
      <c r="G94" s="27"/>
      <c r="J94"/>
      <c r="K94"/>
      <c r="L94"/>
      <c r="M94"/>
      <c r="N94"/>
      <c r="O94"/>
      <c r="P94"/>
      <c r="Q94"/>
      <c r="R94"/>
      <c r="S94"/>
      <c r="T94"/>
      <c r="U94"/>
      <c r="V94"/>
    </row>
    <row r="95" spans="5:22" s="18" customFormat="1" ht="15.75" customHeight="1">
      <c r="E95" s="21"/>
      <c r="F95" s="44"/>
      <c r="G95" s="27"/>
      <c r="J95"/>
      <c r="K95"/>
      <c r="L95"/>
      <c r="M95"/>
      <c r="N95"/>
      <c r="O95"/>
      <c r="P95"/>
      <c r="Q95"/>
      <c r="R95"/>
      <c r="S95"/>
      <c r="T95"/>
      <c r="U95"/>
      <c r="V95"/>
    </row>
    <row r="96" spans="5:22" s="18" customFormat="1" ht="15.75" customHeight="1">
      <c r="E96" s="21"/>
      <c r="F96" s="44"/>
      <c r="G96" s="27"/>
      <c r="J96"/>
      <c r="K96"/>
      <c r="L96"/>
      <c r="M96"/>
      <c r="N96"/>
      <c r="O96"/>
      <c r="P96"/>
      <c r="Q96"/>
      <c r="R96"/>
      <c r="S96"/>
      <c r="T96"/>
      <c r="U96"/>
      <c r="V96"/>
    </row>
    <row r="97" spans="5:22" s="18" customFormat="1" ht="15.75" customHeight="1">
      <c r="E97" s="21"/>
      <c r="F97" s="44"/>
      <c r="G97" s="27"/>
      <c r="J97"/>
      <c r="K97"/>
      <c r="L97"/>
      <c r="M97"/>
      <c r="N97"/>
      <c r="O97"/>
      <c r="P97"/>
      <c r="Q97"/>
      <c r="R97"/>
      <c r="S97"/>
      <c r="T97"/>
      <c r="U97"/>
      <c r="V97"/>
    </row>
    <row r="98" spans="5:22" s="18" customFormat="1" ht="15.75" customHeight="1">
      <c r="E98" s="21"/>
      <c r="F98" s="44"/>
      <c r="G98" s="27"/>
      <c r="J98"/>
      <c r="K98"/>
      <c r="L98"/>
      <c r="M98"/>
      <c r="N98"/>
      <c r="O98"/>
      <c r="P98"/>
      <c r="Q98"/>
      <c r="R98"/>
      <c r="S98"/>
      <c r="T98"/>
      <c r="U98"/>
      <c r="V98"/>
    </row>
    <row r="99" spans="5:22" s="18" customFormat="1" ht="15.75" customHeight="1">
      <c r="E99" s="21"/>
      <c r="F99" s="44"/>
      <c r="G99" s="27"/>
      <c r="J99"/>
      <c r="K99"/>
      <c r="L99"/>
      <c r="M99"/>
      <c r="N99"/>
      <c r="O99"/>
      <c r="P99"/>
      <c r="Q99"/>
      <c r="R99"/>
      <c r="S99"/>
      <c r="T99"/>
      <c r="U99"/>
      <c r="V99"/>
    </row>
    <row r="100" spans="5:22" s="18" customFormat="1" ht="15.75" customHeight="1">
      <c r="E100" s="21"/>
      <c r="F100" s="44"/>
      <c r="G100" s="27"/>
      <c r="J100"/>
      <c r="K100"/>
      <c r="L100"/>
      <c r="M100"/>
      <c r="N100"/>
      <c r="O100"/>
      <c r="P100"/>
      <c r="Q100"/>
      <c r="R100"/>
      <c r="S100"/>
      <c r="T100"/>
      <c r="U100"/>
      <c r="V100"/>
    </row>
    <row r="101" spans="5:22" s="18" customFormat="1" ht="15.75" customHeight="1">
      <c r="E101" s="21"/>
      <c r="F101" s="44"/>
      <c r="G101" s="27"/>
      <c r="J101"/>
      <c r="K101"/>
      <c r="L101"/>
      <c r="M101"/>
      <c r="N101"/>
      <c r="O101"/>
      <c r="P101"/>
      <c r="Q101"/>
      <c r="R101"/>
      <c r="S101"/>
      <c r="T101"/>
      <c r="U101"/>
      <c r="V101"/>
    </row>
    <row r="102" spans="5:22" s="18" customFormat="1" ht="15.75" customHeight="1">
      <c r="E102" s="21"/>
      <c r="F102" s="44"/>
      <c r="G102" s="27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5:22" s="18" customFormat="1" ht="15.75" customHeight="1">
      <c r="E103" s="21"/>
      <c r="F103" s="44"/>
      <c r="G103" s="27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5:22" s="18" customFormat="1" ht="15.75" customHeight="1">
      <c r="E104" s="21"/>
      <c r="F104" s="44"/>
      <c r="G104" s="27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5:22" s="18" customFormat="1" ht="15.75" customHeight="1">
      <c r="E105" s="21"/>
      <c r="F105" s="44"/>
      <c r="G105" s="27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5:22" s="18" customFormat="1" ht="15.75" customHeight="1">
      <c r="E106" s="21"/>
      <c r="F106" s="44"/>
      <c r="G106" s="27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5:22" s="18" customFormat="1" ht="15.75" customHeight="1">
      <c r="E107" s="21"/>
      <c r="F107" s="44"/>
      <c r="G107" s="2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5:22" s="18" customFormat="1" ht="15.75" customHeight="1">
      <c r="E108" s="21"/>
      <c r="F108" s="44"/>
      <c r="G108" s="27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5:22" s="18" customFormat="1" ht="15.75" customHeight="1">
      <c r="E109" s="21"/>
      <c r="F109" s="44"/>
      <c r="G109" s="27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5:22" s="18" customFormat="1" ht="15.75" customHeight="1">
      <c r="E110" s="21"/>
      <c r="F110" s="44"/>
      <c r="G110" s="27"/>
      <c r="J110"/>
      <c r="K110"/>
      <c r="L110"/>
      <c r="M110"/>
      <c r="N110"/>
      <c r="O110"/>
      <c r="P110"/>
      <c r="Q110"/>
      <c r="R110"/>
      <c r="S110"/>
      <c r="T110"/>
      <c r="U110"/>
      <c r="V110"/>
    </row>
    <row r="111" spans="5:22" s="18" customFormat="1" ht="15.75" customHeight="1">
      <c r="E111" s="21"/>
      <c r="F111" s="44"/>
      <c r="G111" s="27"/>
      <c r="J111"/>
      <c r="K111"/>
      <c r="L111"/>
      <c r="M111"/>
      <c r="N111"/>
      <c r="O111"/>
      <c r="P111"/>
      <c r="Q111"/>
      <c r="R111"/>
      <c r="S111"/>
      <c r="T111"/>
      <c r="U111"/>
      <c r="V111"/>
    </row>
    <row r="112" spans="5:22" s="18" customFormat="1" ht="15.75" customHeight="1">
      <c r="E112" s="21"/>
      <c r="F112" s="44"/>
      <c r="G112" s="27"/>
      <c r="J112"/>
      <c r="K112"/>
      <c r="L112"/>
      <c r="M112"/>
      <c r="N112"/>
      <c r="O112"/>
      <c r="P112"/>
      <c r="Q112"/>
      <c r="R112"/>
      <c r="S112"/>
      <c r="T112"/>
      <c r="U112"/>
      <c r="V112"/>
    </row>
    <row r="113" spans="5:22" s="18" customFormat="1" ht="15.75" customHeight="1">
      <c r="E113" s="21"/>
      <c r="F113" s="44"/>
      <c r="G113" s="27"/>
      <c r="J113"/>
      <c r="K113"/>
      <c r="L113"/>
      <c r="M113"/>
      <c r="N113"/>
      <c r="O113"/>
      <c r="P113"/>
      <c r="Q113"/>
      <c r="R113"/>
      <c r="S113"/>
      <c r="T113"/>
      <c r="U113"/>
      <c r="V113"/>
    </row>
    <row r="114" spans="5:22" s="18" customFormat="1" ht="15.75" customHeight="1">
      <c r="E114" s="21"/>
      <c r="F114" s="44"/>
      <c r="G114" s="27"/>
      <c r="J114"/>
      <c r="K114"/>
      <c r="L114"/>
      <c r="M114"/>
      <c r="N114"/>
      <c r="O114"/>
      <c r="P114"/>
      <c r="Q114"/>
      <c r="R114"/>
      <c r="S114"/>
      <c r="T114"/>
      <c r="U114"/>
      <c r="V114"/>
    </row>
    <row r="115" spans="5:22" s="18" customFormat="1" ht="15.75" customHeight="1">
      <c r="E115" s="21"/>
      <c r="F115" s="44"/>
      <c r="G115" s="27"/>
      <c r="J115"/>
      <c r="K115"/>
      <c r="L115"/>
      <c r="M115"/>
      <c r="N115"/>
      <c r="O115"/>
      <c r="P115"/>
      <c r="Q115"/>
      <c r="R115"/>
      <c r="S115"/>
      <c r="T115"/>
      <c r="U115"/>
      <c r="V115"/>
    </row>
    <row r="116" spans="5:22" s="18" customFormat="1" ht="15.75" customHeight="1">
      <c r="E116" s="21"/>
      <c r="F116" s="44"/>
      <c r="G116" s="27"/>
      <c r="J116"/>
      <c r="K116"/>
      <c r="L116"/>
      <c r="M116"/>
      <c r="N116"/>
      <c r="O116"/>
      <c r="P116"/>
      <c r="Q116"/>
      <c r="R116"/>
      <c r="S116"/>
      <c r="T116"/>
      <c r="U116"/>
      <c r="V116"/>
    </row>
    <row r="117" spans="5:22" s="18" customFormat="1" ht="15.75" customHeight="1">
      <c r="E117" s="21"/>
      <c r="F117" s="44"/>
      <c r="G117" s="27"/>
      <c r="J117"/>
      <c r="K117"/>
      <c r="L117"/>
      <c r="M117"/>
      <c r="N117"/>
      <c r="O117"/>
      <c r="P117"/>
      <c r="Q117"/>
      <c r="R117"/>
      <c r="S117"/>
      <c r="T117"/>
      <c r="U117"/>
      <c r="V117"/>
    </row>
    <row r="118" spans="5:22" s="18" customFormat="1" ht="15.75" customHeight="1">
      <c r="E118" s="21"/>
      <c r="F118" s="44"/>
      <c r="G118" s="27"/>
      <c r="J118"/>
      <c r="K118"/>
      <c r="L118"/>
      <c r="M118"/>
      <c r="N118"/>
      <c r="O118"/>
      <c r="P118"/>
      <c r="Q118"/>
      <c r="R118"/>
      <c r="S118"/>
      <c r="T118"/>
      <c r="U118"/>
      <c r="V118"/>
    </row>
    <row r="119" spans="5:22" s="18" customFormat="1" ht="15.75" customHeight="1">
      <c r="E119" s="21"/>
      <c r="F119" s="44"/>
      <c r="G119" s="27"/>
      <c r="J119"/>
      <c r="K119"/>
      <c r="L119"/>
      <c r="M119"/>
      <c r="N119"/>
      <c r="O119"/>
      <c r="P119"/>
      <c r="Q119"/>
      <c r="R119"/>
      <c r="S119"/>
      <c r="T119"/>
      <c r="U119"/>
      <c r="V119"/>
    </row>
    <row r="120" spans="5:22" s="18" customFormat="1" ht="15.75" customHeight="1">
      <c r="E120" s="21"/>
      <c r="F120" s="44"/>
      <c r="G120" s="27"/>
      <c r="J120"/>
      <c r="K120"/>
      <c r="L120"/>
      <c r="M120"/>
      <c r="N120"/>
      <c r="O120"/>
      <c r="P120"/>
      <c r="Q120"/>
      <c r="R120"/>
      <c r="S120"/>
      <c r="T120"/>
      <c r="U120"/>
      <c r="V120"/>
    </row>
    <row r="121" spans="5:22" s="18" customFormat="1" ht="15.75" customHeight="1">
      <c r="E121" s="21"/>
      <c r="F121" s="44"/>
      <c r="G121" s="27"/>
      <c r="J121"/>
      <c r="K121"/>
      <c r="L121"/>
      <c r="M121"/>
      <c r="N121"/>
      <c r="O121"/>
      <c r="P121"/>
      <c r="Q121"/>
      <c r="R121"/>
      <c r="S121"/>
      <c r="T121"/>
      <c r="U121"/>
      <c r="V121"/>
    </row>
    <row r="122" spans="5:22" s="18" customFormat="1" ht="15.75" customHeight="1">
      <c r="E122" s="21"/>
      <c r="F122" s="44"/>
      <c r="G122" s="27"/>
      <c r="J122"/>
      <c r="K122"/>
      <c r="L122"/>
      <c r="M122"/>
      <c r="N122"/>
      <c r="O122"/>
      <c r="P122"/>
      <c r="Q122"/>
      <c r="R122"/>
      <c r="S122"/>
      <c r="T122"/>
      <c r="U122"/>
      <c r="V122"/>
    </row>
    <row r="123" spans="5:22" s="18" customFormat="1" ht="15.75" customHeight="1">
      <c r="E123" s="21"/>
      <c r="F123" s="44"/>
      <c r="G123" s="27"/>
      <c r="J123"/>
      <c r="K123"/>
      <c r="L123"/>
      <c r="M123"/>
      <c r="N123"/>
      <c r="O123"/>
      <c r="P123"/>
      <c r="Q123"/>
      <c r="R123"/>
      <c r="S123"/>
      <c r="T123"/>
      <c r="U123"/>
      <c r="V123"/>
    </row>
    <row r="124" spans="5:22" s="18" customFormat="1" ht="15.75" customHeight="1">
      <c r="E124" s="21"/>
      <c r="F124" s="44"/>
      <c r="G124" s="27"/>
      <c r="J124"/>
      <c r="K124"/>
      <c r="L124"/>
      <c r="M124"/>
      <c r="N124"/>
      <c r="O124"/>
      <c r="P124"/>
      <c r="Q124"/>
      <c r="R124"/>
      <c r="S124"/>
      <c r="T124"/>
      <c r="U124"/>
      <c r="V124"/>
    </row>
    <row r="125" spans="5:22" s="18" customFormat="1" ht="15.75" customHeight="1">
      <c r="E125" s="21"/>
      <c r="F125" s="44"/>
      <c r="G125" s="27"/>
      <c r="J125"/>
      <c r="K125"/>
      <c r="L125"/>
      <c r="M125"/>
      <c r="N125"/>
      <c r="O125"/>
      <c r="P125"/>
      <c r="Q125"/>
      <c r="R125"/>
      <c r="S125"/>
      <c r="T125"/>
      <c r="U125"/>
      <c r="V125"/>
    </row>
    <row r="126" spans="5:22" s="18" customFormat="1" ht="15.75" customHeight="1">
      <c r="E126" s="21"/>
      <c r="F126" s="44"/>
      <c r="G126" s="27"/>
      <c r="J126"/>
      <c r="K126"/>
      <c r="L126"/>
      <c r="M126"/>
      <c r="N126"/>
      <c r="O126"/>
      <c r="P126"/>
      <c r="Q126"/>
      <c r="R126"/>
      <c r="S126"/>
      <c r="T126"/>
      <c r="U126"/>
      <c r="V126"/>
    </row>
    <row r="127" spans="5:22" s="18" customFormat="1" ht="15.75" customHeight="1">
      <c r="E127" s="21"/>
      <c r="F127" s="44"/>
      <c r="G127" s="27"/>
      <c r="J127"/>
      <c r="K127"/>
      <c r="L127"/>
      <c r="M127"/>
      <c r="N127"/>
      <c r="O127"/>
      <c r="P127"/>
      <c r="Q127"/>
      <c r="R127"/>
      <c r="S127"/>
      <c r="T127"/>
      <c r="U127"/>
      <c r="V127"/>
    </row>
    <row r="128" spans="5:22" s="18" customFormat="1" ht="15.75" customHeight="1">
      <c r="E128" s="21"/>
      <c r="F128" s="44"/>
      <c r="G128" s="27"/>
      <c r="J128"/>
      <c r="K128"/>
      <c r="L128"/>
      <c r="M128"/>
      <c r="N128"/>
      <c r="O128"/>
      <c r="P128"/>
      <c r="Q128"/>
      <c r="R128"/>
      <c r="S128"/>
      <c r="T128"/>
      <c r="U128"/>
      <c r="V128"/>
    </row>
    <row r="129" spans="5:22" s="18" customFormat="1" ht="15.75" customHeight="1">
      <c r="E129" s="21"/>
      <c r="F129" s="44"/>
      <c r="G129" s="27"/>
      <c r="J129"/>
      <c r="K129"/>
      <c r="L129"/>
      <c r="M129"/>
      <c r="N129"/>
      <c r="O129"/>
      <c r="P129"/>
      <c r="Q129"/>
      <c r="R129"/>
      <c r="S129"/>
      <c r="T129"/>
      <c r="U129"/>
      <c r="V129"/>
    </row>
    <row r="130" spans="5:22" s="18" customFormat="1" ht="15.75" customHeight="1">
      <c r="E130" s="21"/>
      <c r="F130" s="44"/>
      <c r="G130" s="27"/>
      <c r="J130"/>
      <c r="K130"/>
      <c r="L130"/>
      <c r="M130"/>
      <c r="N130"/>
      <c r="O130"/>
      <c r="P130"/>
      <c r="Q130"/>
      <c r="R130"/>
      <c r="S130"/>
      <c r="T130"/>
      <c r="U130"/>
      <c r="V130"/>
    </row>
    <row r="131" spans="5:22" s="18" customFormat="1" ht="15.75" customHeight="1">
      <c r="E131" s="21"/>
      <c r="F131" s="44"/>
      <c r="G131" s="27"/>
      <c r="J131"/>
      <c r="K131"/>
      <c r="L131"/>
      <c r="M131"/>
      <c r="N131"/>
      <c r="O131"/>
      <c r="P131"/>
      <c r="Q131"/>
      <c r="R131"/>
      <c r="S131"/>
      <c r="T131"/>
      <c r="U131"/>
      <c r="V131"/>
    </row>
    <row r="132" spans="5:22" s="18" customFormat="1" ht="15.75" customHeight="1">
      <c r="E132" s="21"/>
      <c r="F132" s="44"/>
      <c r="G132" s="27"/>
      <c r="J132"/>
      <c r="K132"/>
      <c r="L132"/>
      <c r="M132"/>
      <c r="N132"/>
      <c r="O132"/>
      <c r="P132"/>
      <c r="Q132"/>
      <c r="R132"/>
      <c r="S132"/>
      <c r="T132"/>
      <c r="U132"/>
      <c r="V132"/>
    </row>
    <row r="133" spans="5:22" s="18" customFormat="1" ht="15.75" customHeight="1">
      <c r="E133" s="21"/>
      <c r="F133" s="44"/>
      <c r="G133" s="27"/>
      <c r="J133"/>
      <c r="K133"/>
      <c r="L133"/>
      <c r="M133"/>
      <c r="N133"/>
      <c r="O133"/>
      <c r="P133"/>
      <c r="Q133"/>
      <c r="R133"/>
      <c r="S133"/>
      <c r="T133"/>
      <c r="U133"/>
      <c r="V133"/>
    </row>
    <row r="134" spans="5:22" s="18" customFormat="1" ht="15.75" customHeight="1">
      <c r="E134" s="21"/>
      <c r="F134" s="44"/>
      <c r="G134" s="27"/>
      <c r="J134"/>
      <c r="K134"/>
      <c r="L134"/>
      <c r="M134"/>
      <c r="N134"/>
      <c r="O134"/>
      <c r="P134"/>
      <c r="Q134"/>
      <c r="R134"/>
      <c r="S134"/>
      <c r="T134"/>
      <c r="U134"/>
      <c r="V134"/>
    </row>
    <row r="135" spans="5:22" s="18" customFormat="1" ht="15.75" customHeight="1">
      <c r="E135" s="21"/>
      <c r="F135" s="44"/>
      <c r="G135" s="27"/>
      <c r="J135"/>
      <c r="K135"/>
      <c r="L135"/>
      <c r="M135"/>
      <c r="N135"/>
      <c r="O135"/>
      <c r="P135"/>
      <c r="Q135"/>
      <c r="R135"/>
      <c r="S135"/>
      <c r="T135"/>
      <c r="U135"/>
      <c r="V135"/>
    </row>
    <row r="136" spans="5:22" s="18" customFormat="1" ht="15.75" customHeight="1">
      <c r="E136" s="21"/>
      <c r="F136" s="44"/>
      <c r="G136" s="27"/>
      <c r="J136"/>
      <c r="K136"/>
      <c r="L136"/>
      <c r="M136"/>
      <c r="N136"/>
      <c r="O136"/>
      <c r="P136"/>
      <c r="Q136"/>
      <c r="R136"/>
      <c r="S136"/>
      <c r="T136"/>
      <c r="U136"/>
      <c r="V136"/>
    </row>
    <row r="137" spans="5:22" s="18" customFormat="1" ht="15.75" customHeight="1">
      <c r="E137" s="21"/>
      <c r="F137" s="44"/>
      <c r="G137" s="27"/>
      <c r="J137"/>
      <c r="K137"/>
      <c r="L137"/>
      <c r="M137"/>
      <c r="N137"/>
      <c r="O137"/>
      <c r="P137"/>
      <c r="Q137"/>
      <c r="R137"/>
      <c r="S137"/>
      <c r="T137"/>
      <c r="U137"/>
      <c r="V137"/>
    </row>
    <row r="138" spans="5:22" s="18" customFormat="1" ht="15.75" customHeight="1">
      <c r="E138" s="21"/>
      <c r="F138" s="44"/>
      <c r="G138" s="27"/>
      <c r="J138"/>
      <c r="K138"/>
      <c r="L138"/>
      <c r="M138"/>
      <c r="N138"/>
      <c r="O138"/>
      <c r="P138"/>
      <c r="Q138"/>
      <c r="R138"/>
      <c r="S138"/>
      <c r="T138"/>
      <c r="U138"/>
      <c r="V138"/>
    </row>
    <row r="139" spans="5:22" s="18" customFormat="1" ht="15.75" customHeight="1">
      <c r="E139" s="21"/>
      <c r="F139" s="44"/>
      <c r="G139" s="27"/>
      <c r="J139"/>
      <c r="K139"/>
      <c r="L139"/>
      <c r="M139"/>
      <c r="N139"/>
      <c r="O139"/>
      <c r="P139"/>
      <c r="Q139"/>
      <c r="R139"/>
      <c r="S139"/>
      <c r="T139"/>
      <c r="U139"/>
      <c r="V139"/>
    </row>
    <row r="140" spans="5:22" s="18" customFormat="1" ht="15.75" customHeight="1">
      <c r="E140" s="21"/>
      <c r="F140" s="44"/>
      <c r="G140" s="27"/>
      <c r="J140"/>
      <c r="K140"/>
      <c r="L140"/>
      <c r="M140"/>
      <c r="N140"/>
      <c r="O140"/>
      <c r="P140"/>
      <c r="Q140"/>
      <c r="R140"/>
      <c r="S140"/>
      <c r="T140"/>
      <c r="U140"/>
      <c r="V140"/>
    </row>
    <row r="141" spans="5:22" s="18" customFormat="1" ht="15.75" customHeight="1">
      <c r="E141" s="21"/>
      <c r="F141" s="44"/>
      <c r="G141" s="27"/>
      <c r="J141"/>
      <c r="K141"/>
      <c r="L141"/>
      <c r="M141"/>
      <c r="N141"/>
      <c r="O141"/>
      <c r="P141"/>
      <c r="Q141"/>
      <c r="R141"/>
      <c r="S141"/>
      <c r="T141"/>
      <c r="U141"/>
      <c r="V141"/>
    </row>
    <row r="142" spans="5:22" s="18" customFormat="1" ht="15.75" customHeight="1">
      <c r="E142" s="21"/>
      <c r="F142" s="44"/>
      <c r="G142" s="27"/>
      <c r="J142"/>
      <c r="K142"/>
      <c r="L142"/>
      <c r="M142"/>
      <c r="N142"/>
      <c r="O142"/>
      <c r="P142"/>
      <c r="Q142"/>
      <c r="R142"/>
      <c r="S142"/>
      <c r="T142"/>
      <c r="U142"/>
      <c r="V142"/>
    </row>
    <row r="143" spans="5:22" s="18" customFormat="1" ht="15.75" customHeight="1">
      <c r="E143" s="21"/>
      <c r="F143" s="44"/>
      <c r="G143" s="27"/>
      <c r="J143"/>
      <c r="K143"/>
      <c r="L143"/>
      <c r="M143"/>
      <c r="N143"/>
      <c r="O143"/>
      <c r="P143"/>
      <c r="Q143"/>
      <c r="R143"/>
      <c r="S143"/>
      <c r="T143"/>
      <c r="U143"/>
      <c r="V143"/>
    </row>
    <row r="144" spans="5:22" s="18" customFormat="1" ht="15.75" customHeight="1">
      <c r="E144" s="21"/>
      <c r="F144" s="44"/>
      <c r="G144" s="27"/>
      <c r="J144"/>
      <c r="K144"/>
      <c r="L144"/>
      <c r="M144"/>
      <c r="N144"/>
      <c r="O144"/>
      <c r="P144"/>
      <c r="Q144"/>
      <c r="R144"/>
      <c r="S144"/>
      <c r="T144"/>
      <c r="U144"/>
      <c r="V144"/>
    </row>
    <row r="145" spans="5:22" s="18" customFormat="1" ht="15.75" customHeight="1">
      <c r="E145" s="21"/>
      <c r="F145" s="44"/>
      <c r="G145" s="27"/>
      <c r="J145"/>
      <c r="K145"/>
      <c r="L145"/>
      <c r="M145"/>
      <c r="N145"/>
      <c r="O145"/>
      <c r="P145"/>
      <c r="Q145"/>
      <c r="R145"/>
      <c r="S145"/>
      <c r="T145"/>
      <c r="U145"/>
      <c r="V145"/>
    </row>
    <row r="146" spans="5:22" s="18" customFormat="1" ht="15.75" customHeight="1">
      <c r="E146" s="21"/>
      <c r="F146" s="44"/>
      <c r="G146" s="27"/>
      <c r="J146"/>
      <c r="K146"/>
      <c r="L146"/>
      <c r="M146"/>
      <c r="N146"/>
      <c r="O146"/>
      <c r="P146"/>
      <c r="Q146"/>
      <c r="R146"/>
      <c r="S146"/>
      <c r="T146"/>
      <c r="U146"/>
      <c r="V146"/>
    </row>
    <row r="147" spans="5:22" s="18" customFormat="1" ht="15.75" customHeight="1">
      <c r="E147" s="21"/>
      <c r="F147" s="44"/>
      <c r="G147" s="27"/>
      <c r="J147"/>
      <c r="K147"/>
      <c r="L147"/>
      <c r="M147"/>
      <c r="N147"/>
      <c r="O147"/>
      <c r="P147"/>
      <c r="Q147"/>
      <c r="R147"/>
      <c r="S147"/>
      <c r="T147"/>
      <c r="U147"/>
      <c r="V147"/>
    </row>
    <row r="148" spans="5:22" s="18" customFormat="1" ht="15.75" customHeight="1">
      <c r="E148" s="21"/>
      <c r="F148" s="44"/>
      <c r="G148" s="27"/>
      <c r="J148"/>
      <c r="K148"/>
      <c r="L148"/>
      <c r="M148"/>
      <c r="N148"/>
      <c r="O148"/>
      <c r="P148"/>
      <c r="Q148"/>
      <c r="R148"/>
      <c r="S148"/>
      <c r="T148"/>
      <c r="U148"/>
      <c r="V148"/>
    </row>
    <row r="149" spans="5:22" s="18" customFormat="1" ht="15.75" customHeight="1">
      <c r="E149" s="21"/>
      <c r="F149" s="44"/>
      <c r="G149" s="27"/>
      <c r="J149"/>
      <c r="K149"/>
      <c r="L149"/>
      <c r="M149"/>
      <c r="N149"/>
      <c r="O149"/>
      <c r="P149"/>
      <c r="Q149"/>
      <c r="R149"/>
      <c r="S149"/>
      <c r="T149"/>
      <c r="U149"/>
      <c r="V149"/>
    </row>
    <row r="150" spans="5:22" s="18" customFormat="1" ht="15.75" customHeight="1">
      <c r="E150" s="21"/>
      <c r="F150" s="44"/>
      <c r="G150" s="27"/>
      <c r="J150"/>
      <c r="K150"/>
      <c r="L150"/>
      <c r="M150"/>
      <c r="N150"/>
      <c r="O150"/>
      <c r="P150"/>
      <c r="Q150"/>
      <c r="R150"/>
      <c r="S150"/>
      <c r="T150"/>
      <c r="U150"/>
      <c r="V150"/>
    </row>
    <row r="151" spans="5:22" s="18" customFormat="1" ht="15.75" customHeight="1">
      <c r="E151" s="21"/>
      <c r="F151" s="44"/>
      <c r="G151" s="27"/>
      <c r="J151"/>
      <c r="K151"/>
      <c r="L151"/>
      <c r="M151"/>
      <c r="N151"/>
      <c r="O151"/>
      <c r="P151"/>
      <c r="Q151"/>
      <c r="R151"/>
      <c r="S151"/>
      <c r="T151"/>
      <c r="U151"/>
      <c r="V151"/>
    </row>
    <row r="152" spans="5:22" s="18" customFormat="1" ht="15.75" customHeight="1">
      <c r="E152" s="21"/>
      <c r="F152" s="44"/>
      <c r="G152" s="27"/>
      <c r="J152"/>
      <c r="K152"/>
      <c r="L152"/>
      <c r="M152"/>
      <c r="N152"/>
      <c r="O152"/>
      <c r="P152"/>
      <c r="Q152"/>
      <c r="R152"/>
      <c r="S152"/>
      <c r="T152"/>
      <c r="U152"/>
      <c r="V152"/>
    </row>
    <row r="153" spans="5:22" s="18" customFormat="1" ht="15.75" customHeight="1">
      <c r="E153" s="21"/>
      <c r="F153" s="44"/>
      <c r="G153" s="27"/>
      <c r="J153"/>
      <c r="K153"/>
      <c r="L153"/>
      <c r="M153"/>
      <c r="N153"/>
      <c r="O153"/>
      <c r="P153"/>
      <c r="Q153"/>
      <c r="R153"/>
      <c r="S153"/>
      <c r="T153"/>
      <c r="U153"/>
      <c r="V153"/>
    </row>
  </sheetData>
  <autoFilter ref="A8:P25" xr:uid="{00000000-0009-0000-0000-000000000000}"/>
  <mergeCells count="55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R2:R5"/>
    <mergeCell ref="C3:C5"/>
    <mergeCell ref="D3:D5"/>
    <mergeCell ref="F3:G3"/>
    <mergeCell ref="F4:G4"/>
    <mergeCell ref="F5:G5"/>
    <mergeCell ref="Q2:Q5"/>
    <mergeCell ref="B7:D7"/>
    <mergeCell ref="E7:I7"/>
    <mergeCell ref="J7:L7"/>
    <mergeCell ref="N7:P7"/>
    <mergeCell ref="E8:F8"/>
    <mergeCell ref="N8:O8"/>
    <mergeCell ref="E9:F9"/>
    <mergeCell ref="N9:O9"/>
    <mergeCell ref="E11:F11"/>
    <mergeCell ref="N11:O11"/>
    <mergeCell ref="E13:F13"/>
    <mergeCell ref="N13:O13"/>
    <mergeCell ref="E10:F10"/>
    <mergeCell ref="E12:F12"/>
    <mergeCell ref="E17:F17"/>
    <mergeCell ref="N17:O17"/>
    <mergeCell ref="E18:F18"/>
    <mergeCell ref="N18:O18"/>
    <mergeCell ref="E14:F14"/>
    <mergeCell ref="N14:O14"/>
    <mergeCell ref="E15:F15"/>
    <mergeCell ref="N15:O15"/>
    <mergeCell ref="E16:F16"/>
    <mergeCell ref="N16:O16"/>
    <mergeCell ref="E26:F26"/>
    <mergeCell ref="G26:H26"/>
    <mergeCell ref="N26:O26"/>
    <mergeCell ref="E19:F19"/>
    <mergeCell ref="N19:O19"/>
    <mergeCell ref="E20:F20"/>
    <mergeCell ref="N21:O21"/>
    <mergeCell ref="E22:F22"/>
    <mergeCell ref="N22:O22"/>
    <mergeCell ref="E23:F23"/>
    <mergeCell ref="E24:F24"/>
    <mergeCell ref="N24:O24"/>
    <mergeCell ref="E25:F25"/>
    <mergeCell ref="N25:O25"/>
  </mergeCells>
  <conditionalFormatting sqref="A9:A25">
    <cfRule type="expression" dxfId="92" priority="1">
      <formula>M9 = "On Hold"</formula>
    </cfRule>
  </conditionalFormatting>
  <conditionalFormatting sqref="B2:B5 J9:P25">
    <cfRule type="cellIs" dxfId="91" priority="4" operator="equal">
      <formula>"Done"</formula>
    </cfRule>
    <cfRule type="cellIs" dxfId="90" priority="5" operator="equal">
      <formula>"On Hold"</formula>
    </cfRule>
    <cfRule type="cellIs" dxfId="89" priority="7" operator="equal">
      <formula>"Ready for Review"</formula>
    </cfRule>
    <cfRule type="cellIs" dxfId="88" priority="8" operator="equal">
      <formula>"In Review"</formula>
    </cfRule>
  </conditionalFormatting>
  <dataValidations disablePrompts="1" count="7">
    <dataValidation type="list" allowBlank="1" showErrorMessage="1" sqref="B2" xr:uid="{B2C6BD9A-C358-41A1-8D6A-773AA5F6292C}">
      <formula1>STT_Statuses</formula1>
    </dataValidation>
    <dataValidation type="list" allowBlank="1" sqref="B4:B5" xr:uid="{AFE0BFA1-ED85-4517-B3D4-B0C2059BB62F}">
      <formula1>ETL_Statuses</formula1>
    </dataValidation>
    <dataValidation type="list" allowBlank="1" sqref="B3 M9:M25" xr:uid="{76D02DE3-8863-49E5-8B14-46C030BEA148}">
      <formula1>Statuses</formula1>
    </dataValidation>
    <dataValidation type="list" allowBlank="1" sqref="N9:N25" xr:uid="{63CD8942-98B4-4CF7-9033-1BA369B7183F}">
      <formula1>Categories</formula1>
    </dataValidation>
    <dataValidation type="list" allowBlank="1" sqref="P9:P25" xr:uid="{53788658-31ED-4CFE-9B6D-FBF6022B6899}">
      <formula1>Versions</formula1>
    </dataValidation>
    <dataValidation type="list" allowBlank="1" sqref="E9:E25" xr:uid="{296DE2D4-D0E2-45EA-970B-0B9EAB86790F}">
      <formula1>Sources</formula1>
    </dataValidation>
    <dataValidation type="list" allowBlank="1" sqref="B9:B25" xr:uid="{8CC52C03-DF66-4B97-B94C-3A68F84E93C1}">
      <formula1>Data_Types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1E21-8F0A-4525-8A4C-8DB445CBC16A}">
  <sheetPr>
    <tabColor rgb="FF00B050"/>
    <outlinePr summaryBelow="0" summaryRight="0"/>
  </sheetPr>
  <dimension ref="A1:R150"/>
  <sheetViews>
    <sheetView zoomScale="90" zoomScaleNormal="90" workbookViewId="0">
      <pane xSplit="1" ySplit="8" topLeftCell="B9" activePane="bottomRight" state="frozen"/>
      <selection pane="bottomRight" activeCell="D18" sqref="D18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4" style="18" customWidth="1"/>
    <col min="2" max="2" width="13.57031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24.140625" style="27" customWidth="1" outlineLevel="1"/>
    <col min="8" max="8" width="37.14062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495</v>
      </c>
      <c r="E3" s="148"/>
      <c r="F3" s="150" t="s">
        <v>496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312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 t="s">
        <v>495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497</v>
      </c>
      <c r="B9" s="34" t="s">
        <v>78</v>
      </c>
      <c r="C9" s="36" t="e" vm="1">
        <v>#VALUE!</v>
      </c>
      <c r="D9" s="34" t="s">
        <v>498</v>
      </c>
      <c r="E9" s="168" t="s">
        <v>312</v>
      </c>
      <c r="F9" s="169"/>
      <c r="G9" s="17" t="s">
        <v>495</v>
      </c>
      <c r="H9" s="17" t="s">
        <v>499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"new_athletetoachievementid": "athlete_per_achievements_code",</v>
      </c>
      <c r="R9" s="14" t="str">
        <f>CONCATENATE($Q$2,A9,$R$2,B9,$Q$2,",")</f>
        <v>"athlete_per_achievements_code": "string",</v>
      </c>
    </row>
    <row r="10" spans="1:18" s="137" customFormat="1" ht="15.75" customHeight="1" outlineLevel="1">
      <c r="A10" s="138" t="s">
        <v>500</v>
      </c>
      <c r="B10" s="129" t="s">
        <v>78</v>
      </c>
      <c r="C10" s="139"/>
      <c r="D10" s="129" t="s">
        <v>501</v>
      </c>
      <c r="E10" s="218" t="s">
        <v>312</v>
      </c>
      <c r="F10" s="219"/>
      <c r="G10" s="140" t="s">
        <v>495</v>
      </c>
      <c r="H10" s="140" t="s">
        <v>437</v>
      </c>
      <c r="I10" s="121"/>
      <c r="J10" s="123"/>
      <c r="K10" s="124"/>
      <c r="L10" s="124"/>
      <c r="M10" s="125"/>
      <c r="N10" s="244"/>
      <c r="O10" s="245"/>
      <c r="P10" s="126"/>
      <c r="Q10" s="127" t="str">
        <f t="shared" ref="Q10:Q21" si="0">CONCATENATE($Q$2,H10,$R$2,A10,$Q$2,",")</f>
        <v>"new_t_idnumber": "athlete_per_achievements_id",</v>
      </c>
      <c r="R10" s="127" t="str">
        <f t="shared" ref="R10:R23" si="1">CONCATENATE($Q$2,A10,$R$2,B10,$Q$2,",")</f>
        <v>"athlete_per_achievements_id": "string",</v>
      </c>
    </row>
    <row r="11" spans="1:18" ht="15.75" customHeight="1" outlineLevel="1">
      <c r="A11" s="37" t="s">
        <v>449</v>
      </c>
      <c r="B11" s="34" t="s">
        <v>78</v>
      </c>
      <c r="C11" s="36" t="e" vm="1">
        <v>#VALUE!</v>
      </c>
      <c r="D11" s="34" t="s">
        <v>502</v>
      </c>
      <c r="E11" s="168" t="s">
        <v>312</v>
      </c>
      <c r="F11" s="169"/>
      <c r="G11" s="17" t="s">
        <v>495</v>
      </c>
      <c r="H11" s="17" t="s">
        <v>451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"_new_id_supportrequest_value": "support_request_code",</v>
      </c>
      <c r="R11" s="14" t="str">
        <f t="shared" si="1"/>
        <v>"support_request_code": "string",</v>
      </c>
    </row>
    <row r="12" spans="1:18" ht="15.75" customHeight="1" outlineLevel="1">
      <c r="A12" s="37" t="s">
        <v>503</v>
      </c>
      <c r="B12" s="34" t="s">
        <v>217</v>
      </c>
      <c r="C12" s="36"/>
      <c r="D12" s="34" t="s">
        <v>504</v>
      </c>
      <c r="E12" s="168" t="s">
        <v>312</v>
      </c>
      <c r="F12" s="169"/>
      <c r="G12" s="17" t="s">
        <v>495</v>
      </c>
      <c r="H12" s="17" t="s">
        <v>505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"new_d_scoring": "athlete_per_achievements_score",</v>
      </c>
      <c r="R12" s="14" t="str">
        <f t="shared" si="1"/>
        <v>"athlete_per_achievements_score": "float64",</v>
      </c>
    </row>
    <row r="13" spans="1:18" ht="15.75" customHeight="1" outlineLevel="1">
      <c r="A13" s="37" t="s">
        <v>506</v>
      </c>
      <c r="B13" s="34" t="s">
        <v>78</v>
      </c>
      <c r="C13" s="36"/>
      <c r="D13" s="34" t="s">
        <v>507</v>
      </c>
      <c r="E13" s="168" t="s">
        <v>312</v>
      </c>
      <c r="F13" s="169"/>
      <c r="G13" s="17" t="s">
        <v>495</v>
      </c>
      <c r="H13" s="17" t="s">
        <v>508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"new_t_fullname": "athlete_per_achievements_full_name_en",</v>
      </c>
      <c r="R13" s="14" t="str">
        <f t="shared" si="1"/>
        <v>"athlete_per_achievements_full_name_en": "string",</v>
      </c>
    </row>
    <row r="14" spans="1:18" ht="15.75" customHeight="1" outlineLevel="1">
      <c r="A14" s="37" t="s">
        <v>509</v>
      </c>
      <c r="B14" s="34" t="s">
        <v>78</v>
      </c>
      <c r="C14" s="36" t="e" vm="1">
        <v>#VALUE!</v>
      </c>
      <c r="D14" s="16" t="s">
        <v>510</v>
      </c>
      <c r="E14" s="168" t="s">
        <v>312</v>
      </c>
      <c r="F14" s="169"/>
      <c r="G14" s="17" t="s">
        <v>495</v>
      </c>
      <c r="H14" s="17" t="s">
        <v>511</v>
      </c>
      <c r="I14" s="23"/>
      <c r="J14" s="41"/>
      <c r="K14" s="12"/>
      <c r="L14" s="12"/>
      <c r="M14" s="49"/>
      <c r="N14" s="240"/>
      <c r="O14" s="241"/>
      <c r="P14" s="13"/>
      <c r="Q14" s="14" t="str">
        <f t="shared" si="0"/>
        <v>"_new_id_athletesinsupportingrequest_value": "athlete_support_request_code",</v>
      </c>
      <c r="R14" s="14" t="str">
        <f t="shared" si="1"/>
        <v>"athlete_support_request_code": "string",</v>
      </c>
    </row>
    <row r="15" spans="1:18" ht="15.75" customHeight="1" outlineLevel="1">
      <c r="A15" s="131" t="s">
        <v>512</v>
      </c>
      <c r="B15" s="34" t="s">
        <v>78</v>
      </c>
      <c r="C15" s="36" t="e" vm="1">
        <v>#VALUE!</v>
      </c>
      <c r="D15" s="16" t="s">
        <v>513</v>
      </c>
      <c r="E15" s="168" t="s">
        <v>312</v>
      </c>
      <c r="F15" s="169"/>
      <c r="G15" s="17" t="s">
        <v>495</v>
      </c>
      <c r="H15" s="17" t="s">
        <v>514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"_new_id_personalbranchachievements_value": "main_branch_achievements_code",</v>
      </c>
      <c r="R15" s="14" t="str">
        <f t="shared" si="1"/>
        <v>"main_branch_achievements_code": "string",</v>
      </c>
    </row>
    <row r="16" spans="1:18" ht="15.75" customHeight="1" outlineLevel="1">
      <c r="A16" s="37" t="s">
        <v>515</v>
      </c>
      <c r="B16" s="34" t="s">
        <v>78</v>
      </c>
      <c r="C16" s="36"/>
      <c r="D16" s="34" t="s">
        <v>516</v>
      </c>
      <c r="E16" s="168" t="s">
        <v>312</v>
      </c>
      <c r="F16" s="169"/>
      <c r="G16" s="17" t="s">
        <v>495</v>
      </c>
      <c r="H16" s="22" t="s">
        <v>517</v>
      </c>
      <c r="I16" s="23"/>
      <c r="J16" s="41"/>
      <c r="K16" s="12"/>
      <c r="L16" s="12"/>
      <c r="M16" s="49"/>
      <c r="N16" s="240"/>
      <c r="O16" s="241"/>
      <c r="P16" s="13"/>
      <c r="Q16" s="14" t="str">
        <f t="shared" si="0"/>
        <v>"_new_id_athletesinsupportingrequest_value_label": "athlete_per_achievements_full_name_heb",</v>
      </c>
      <c r="R16" s="14" t="str">
        <f t="shared" si="1"/>
        <v>"athlete_per_achievements_full_name_heb": "string",</v>
      </c>
    </row>
    <row r="17" spans="1:18" ht="15.75" customHeight="1" outlineLevel="1">
      <c r="A17" s="37" t="s">
        <v>459</v>
      </c>
      <c r="B17" s="34" t="s">
        <v>78</v>
      </c>
      <c r="C17" s="36"/>
      <c r="D17" s="34" t="s">
        <v>460</v>
      </c>
      <c r="E17" s="168" t="s">
        <v>312</v>
      </c>
      <c r="F17" s="169"/>
      <c r="G17" s="17" t="s">
        <v>495</v>
      </c>
      <c r="H17" s="22" t="s">
        <v>461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"new_id_type_label": "identification_type",</v>
      </c>
      <c r="R17" s="14" t="str">
        <f t="shared" si="1"/>
        <v>"identification_type": "string",</v>
      </c>
    </row>
    <row r="18" spans="1:18" ht="15.75" customHeight="1" outlineLevel="1">
      <c r="A18" s="131" t="s">
        <v>518</v>
      </c>
      <c r="B18" s="34" t="s">
        <v>111</v>
      </c>
      <c r="C18" s="36"/>
      <c r="D18" s="34" t="s">
        <v>519</v>
      </c>
      <c r="E18" s="168" t="s">
        <v>312</v>
      </c>
      <c r="F18" s="169"/>
      <c r="G18" s="17" t="s">
        <v>520</v>
      </c>
      <c r="H18" s="22" t="s">
        <v>521</v>
      </c>
      <c r="I18" s="23"/>
      <c r="J18" s="41"/>
      <c r="K18" s="12"/>
      <c r="L18" s="12"/>
      <c r="M18" s="49"/>
      <c r="N18" s="42"/>
      <c r="O18" s="43"/>
      <c r="P18" s="13"/>
      <c r="Q18" s="14" t="str">
        <f t="shared" si="0"/>
        <v>"new_n_placeinrating": "competition_rank",</v>
      </c>
      <c r="R18" s="14" t="str">
        <f t="shared" si="1"/>
        <v>"competition_rank": "Int64",</v>
      </c>
    </row>
    <row r="19" spans="1:18" ht="15.75" customHeight="1" outlineLevel="1">
      <c r="A19" s="37" t="s">
        <v>335</v>
      </c>
      <c r="B19" s="55" t="s">
        <v>111</v>
      </c>
      <c r="C19" s="36"/>
      <c r="D19" s="34" t="s">
        <v>336</v>
      </c>
      <c r="E19" s="168" t="s">
        <v>312</v>
      </c>
      <c r="F19" s="169"/>
      <c r="G19" s="17" t="s">
        <v>495</v>
      </c>
      <c r="H19" s="17" t="s">
        <v>337</v>
      </c>
      <c r="I19" s="23"/>
      <c r="J19" s="41"/>
      <c r="K19" s="12"/>
      <c r="L19" s="12"/>
      <c r="M19" s="49"/>
      <c r="N19" s="240"/>
      <c r="O19" s="241"/>
      <c r="P19" s="13"/>
      <c r="Q19" s="14" t="str">
        <f t="shared" si="0"/>
        <v>"statecode": "is_inactive",</v>
      </c>
      <c r="R19" s="14" t="str">
        <f t="shared" si="1"/>
        <v>"is_inactive": "Int64",</v>
      </c>
    </row>
    <row r="20" spans="1:18" ht="15.75" customHeight="1" outlineLevel="1">
      <c r="A20" s="37" t="s">
        <v>338</v>
      </c>
      <c r="B20" s="55" t="s">
        <v>111</v>
      </c>
      <c r="C20" s="36"/>
      <c r="D20" s="34" t="s">
        <v>340</v>
      </c>
      <c r="E20" s="168" t="s">
        <v>312</v>
      </c>
      <c r="F20" s="169"/>
      <c r="G20" s="17" t="s">
        <v>495</v>
      </c>
      <c r="H20" s="22" t="s">
        <v>341</v>
      </c>
      <c r="I20" s="23"/>
      <c r="J20" s="41"/>
      <c r="K20" s="12"/>
      <c r="L20" s="12"/>
      <c r="M20" s="49"/>
      <c r="N20" s="240"/>
      <c r="O20" s="241"/>
      <c r="P20" s="13"/>
      <c r="Q20" s="14" t="str">
        <f t="shared" si="0"/>
        <v>"statuscode": "status_code",</v>
      </c>
      <c r="R20" s="14" t="str">
        <f t="shared" si="1"/>
        <v>"status_code": "Int64",</v>
      </c>
    </row>
    <row r="21" spans="1:18" ht="15.75" customHeight="1" outlineLevel="1">
      <c r="A21" s="37" t="s">
        <v>342</v>
      </c>
      <c r="B21" s="34" t="s">
        <v>239</v>
      </c>
      <c r="C21" s="36"/>
      <c r="D21" s="34" t="s">
        <v>343</v>
      </c>
      <c r="E21" s="168" t="s">
        <v>312</v>
      </c>
      <c r="F21" s="169"/>
      <c r="G21" s="17" t="s">
        <v>495</v>
      </c>
      <c r="H21" s="17" t="s">
        <v>344</v>
      </c>
      <c r="I21" s="23"/>
      <c r="J21" s="41"/>
      <c r="K21" s="12"/>
      <c r="L21" s="12"/>
      <c r="M21" s="49"/>
      <c r="N21" s="240"/>
      <c r="O21" s="241"/>
      <c r="P21" s="13"/>
      <c r="Q21" s="14" t="str">
        <f t="shared" si="0"/>
        <v>"modifiedon": "modified_on_date",</v>
      </c>
      <c r="R21" s="14" t="str">
        <f t="shared" si="1"/>
        <v>"modified_on_date": "datetime",</v>
      </c>
    </row>
    <row r="22" spans="1:18" ht="15.75" customHeight="1" outlineLevel="1">
      <c r="A22" s="37"/>
      <c r="B22" s="34"/>
      <c r="C22" s="36"/>
      <c r="D22" s="16"/>
      <c r="E22" s="168"/>
      <c r="F22" s="169"/>
      <c r="G22" s="17"/>
      <c r="H22" s="22"/>
      <c r="I22" s="23"/>
      <c r="J22" s="41"/>
      <c r="K22" s="12"/>
      <c r="L22" s="12"/>
      <c r="M22" s="49"/>
      <c r="N22" s="240"/>
      <c r="O22" s="241"/>
      <c r="P22" s="13"/>
      <c r="Q22" s="14" t="str">
        <f t="shared" ref="Q22:Q23" si="2">CONCATENATE($Q$2,H22,$R$2,A22,$Q$2,",")</f>
        <v>"": "",</v>
      </c>
      <c r="R22" s="14" t="str">
        <f t="shared" si="1"/>
        <v>"": "",</v>
      </c>
    </row>
    <row r="23" spans="1:18" ht="15.75" customHeight="1" outlineLevel="1">
      <c r="A23" s="38" t="s">
        <v>64</v>
      </c>
      <c r="B23" s="39"/>
      <c r="C23" s="40"/>
      <c r="D23" s="9"/>
      <c r="E23" s="168"/>
      <c r="F23" s="169"/>
      <c r="G23" s="17"/>
      <c r="H23" s="25"/>
      <c r="I23" s="24"/>
      <c r="J23" s="51"/>
      <c r="K23" s="3"/>
      <c r="L23" s="3"/>
      <c r="M23" s="49"/>
      <c r="N23" s="242"/>
      <c r="O23" s="243"/>
      <c r="P23" s="4"/>
      <c r="Q23" s="14" t="str">
        <f t="shared" si="2"/>
        <v>"": "Leave Empty",</v>
      </c>
      <c r="R23" s="14" t="str">
        <f t="shared" si="1"/>
        <v>"Leave Empty": "",</v>
      </c>
    </row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>
      <c r="D30" s="132"/>
    </row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</sheetData>
  <autoFilter ref="A8:P23" xr:uid="{00000000-0009-0000-0000-000000000000}"/>
  <mergeCells count="52">
    <mergeCell ref="R2:R5"/>
    <mergeCell ref="E23:F23"/>
    <mergeCell ref="N23:O23"/>
    <mergeCell ref="E22:F22"/>
    <mergeCell ref="N22:O22"/>
    <mergeCell ref="E20:F20"/>
    <mergeCell ref="N20:O20"/>
    <mergeCell ref="E21:F21"/>
    <mergeCell ref="N21:O21"/>
    <mergeCell ref="E17:F17"/>
    <mergeCell ref="N17:O17"/>
    <mergeCell ref="E19:F19"/>
    <mergeCell ref="N19:O19"/>
    <mergeCell ref="E15:F15"/>
    <mergeCell ref="N15:O15"/>
    <mergeCell ref="E16:F16"/>
    <mergeCell ref="N16:O16"/>
    <mergeCell ref="E18:F18"/>
    <mergeCell ref="E13:F13"/>
    <mergeCell ref="N13:O13"/>
    <mergeCell ref="E14:F14"/>
    <mergeCell ref="N14:O14"/>
    <mergeCell ref="E11:F11"/>
    <mergeCell ref="N11:O11"/>
    <mergeCell ref="E12:F12"/>
    <mergeCell ref="N12:O12"/>
    <mergeCell ref="E9:F9"/>
    <mergeCell ref="N9:O9"/>
    <mergeCell ref="E10:F10"/>
    <mergeCell ref="N10:O10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C3:C5"/>
    <mergeCell ref="D3:D5"/>
    <mergeCell ref="F3:G3"/>
    <mergeCell ref="F4:G4"/>
    <mergeCell ref="F5:G5"/>
  </mergeCells>
  <conditionalFormatting sqref="A9:A23">
    <cfRule type="expression" dxfId="87" priority="1">
      <formula>M9 = "On Hold"</formula>
    </cfRule>
  </conditionalFormatting>
  <conditionalFormatting sqref="B2:B5 J9:P23">
    <cfRule type="cellIs" dxfId="86" priority="8" operator="equal">
      <formula>"Done"</formula>
    </cfRule>
    <cfRule type="cellIs" dxfId="85" priority="9" operator="equal">
      <formula>"On Hold"</formula>
    </cfRule>
    <cfRule type="cellIs" dxfId="84" priority="11" operator="equal">
      <formula>"Ready for Review"</formula>
    </cfRule>
    <cfRule type="cellIs" dxfId="83" priority="12" operator="equal">
      <formula>"In Review"</formula>
    </cfRule>
  </conditionalFormatting>
  <dataValidations count="7">
    <dataValidation type="list" allowBlank="1" sqref="B3 M9:M23" xr:uid="{E958B523-4AB7-4C65-B18B-F7781E662118}">
      <formula1>Statuses</formula1>
    </dataValidation>
    <dataValidation type="list" allowBlank="1" sqref="B4:B5" xr:uid="{57B13AA5-7A9E-45B6-A851-DF062E25A07C}">
      <formula1>ETL_Statuses</formula1>
    </dataValidation>
    <dataValidation type="list" allowBlank="1" showErrorMessage="1" sqref="B2" xr:uid="{7E0E1F9B-2E44-42AA-8B6C-6A834F8665C6}">
      <formula1>STT_Statuses</formula1>
    </dataValidation>
    <dataValidation type="list" allowBlank="1" sqref="B9:B17 B21:B23" xr:uid="{6A44C806-8F09-4458-8B69-596BCF41AA0B}">
      <formula1>Data_Types</formula1>
    </dataValidation>
    <dataValidation type="list" allowBlank="1" sqref="E9:E23" xr:uid="{926CE126-0E33-44A1-B15C-FF9078AC3087}">
      <formula1>Sources</formula1>
    </dataValidation>
    <dataValidation type="list" allowBlank="1" sqref="P9:P23" xr:uid="{0213F9FF-1A56-4EED-8B06-97570707C564}">
      <formula1>Versions</formula1>
    </dataValidation>
    <dataValidation type="list" allowBlank="1" sqref="N9:N23" xr:uid="{4DF7145C-CE44-4E62-9796-B3FF234A33AD}">
      <formula1>Categories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B0A64-EE7F-40AC-A103-BF5D50A28BDB}">
  <sheetPr>
    <tabColor rgb="FF00B050"/>
    <outlinePr summaryBelow="0" summaryRight="0"/>
  </sheetPr>
  <dimension ref="A1:R156"/>
  <sheetViews>
    <sheetView zoomScaleNormal="100" workbookViewId="0">
      <pane xSplit="1" ySplit="8" topLeftCell="B9" activePane="bottomRight" state="frozen"/>
      <selection pane="bottomRight" activeCell="D19" sqref="D19:D20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4" style="18" customWidth="1"/>
    <col min="2" max="2" width="13.57031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29.7109375" style="27" customWidth="1" outlineLevel="1"/>
    <col min="8" max="8" width="37.14062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522</v>
      </c>
      <c r="E3" s="148"/>
      <c r="F3" s="150" t="s">
        <v>523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312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/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512</v>
      </c>
      <c r="B9" s="34" t="s">
        <v>78</v>
      </c>
      <c r="C9" s="36" t="e" vm="1">
        <v>#VALUE!</v>
      </c>
      <c r="D9" s="34" t="s">
        <v>524</v>
      </c>
      <c r="E9" s="168" t="s">
        <v>312</v>
      </c>
      <c r="F9" s="169"/>
      <c r="G9" s="17" t="s">
        <v>522</v>
      </c>
      <c r="H9" s="17" t="s">
        <v>525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"new_mainbranchachievementsid": "main_branch_achievements_code",</v>
      </c>
      <c r="R9" s="14" t="str">
        <f>CONCATENATE($Q$2,A9,$R$2,B9,$Q$2,",")</f>
        <v>"main_branch_achievements_code": "string",</v>
      </c>
    </row>
    <row r="10" spans="1:18" ht="15.75" customHeight="1" outlineLevel="1">
      <c r="A10" s="37" t="s">
        <v>526</v>
      </c>
      <c r="B10" s="34" t="s">
        <v>78</v>
      </c>
      <c r="C10" s="36"/>
      <c r="D10" s="16" t="s">
        <v>527</v>
      </c>
      <c r="E10" s="168" t="s">
        <v>312</v>
      </c>
      <c r="F10" s="169"/>
      <c r="G10" s="17" t="s">
        <v>522</v>
      </c>
      <c r="H10" s="17" t="s">
        <v>528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27" si="0">CONCATENATE($Q$2,H10,$R$2,A10,$Q$2,",")</f>
        <v>"new_pl_championshiptype_label": "champion_type",</v>
      </c>
      <c r="R10" s="14" t="str">
        <f t="shared" ref="R10:R28" si="1">CONCATENATE($Q$2,A10,$R$2,B10,$Q$2,",")</f>
        <v>"champion_type": "string",</v>
      </c>
    </row>
    <row r="11" spans="1:18" ht="15.75" customHeight="1" outlineLevel="1">
      <c r="A11" s="37" t="s">
        <v>529</v>
      </c>
      <c r="B11" s="34" t="s">
        <v>530</v>
      </c>
      <c r="C11" s="36"/>
      <c r="D11" s="16" t="s">
        <v>531</v>
      </c>
      <c r="E11" s="168" t="s">
        <v>312</v>
      </c>
      <c r="F11" s="169"/>
      <c r="G11" s="17" t="s">
        <v>522</v>
      </c>
      <c r="H11" s="17" t="s">
        <v>532</v>
      </c>
      <c r="I11" s="23"/>
      <c r="J11" s="41"/>
      <c r="K11" s="12"/>
      <c r="L11" s="12"/>
      <c r="M11" s="49"/>
      <c r="N11" s="42"/>
      <c r="O11" s="43"/>
      <c r="P11" s="13"/>
      <c r="Q11" s="14" t="str">
        <f t="shared" si="0"/>
        <v>"new_d_championshipdate": "champion_date",</v>
      </c>
      <c r="R11" s="14" t="str">
        <f t="shared" si="1"/>
        <v>"champion_date": "date",</v>
      </c>
    </row>
    <row r="12" spans="1:18" ht="15.75" customHeight="1" outlineLevel="1">
      <c r="A12" s="37" t="s">
        <v>533</v>
      </c>
      <c r="B12" s="34" t="s">
        <v>78</v>
      </c>
      <c r="C12" s="36"/>
      <c r="D12" s="16" t="s">
        <v>534</v>
      </c>
      <c r="E12" s="168" t="s">
        <v>312</v>
      </c>
      <c r="F12" s="169"/>
      <c r="G12" s="17" t="s">
        <v>522</v>
      </c>
      <c r="H12" s="17" t="s">
        <v>535</v>
      </c>
      <c r="I12" s="23"/>
      <c r="J12" s="41"/>
      <c r="K12" s="12"/>
      <c r="L12" s="12"/>
      <c r="M12" s="49"/>
      <c r="N12" s="42"/>
      <c r="O12" s="43"/>
      <c r="P12" s="13"/>
      <c r="Q12" s="14" t="str">
        <f t="shared" si="0"/>
        <v>"_new_id_hostcountry_value_label": "host_country",</v>
      </c>
      <c r="R12" s="14" t="str">
        <f t="shared" si="1"/>
        <v>"host_country": "string",</v>
      </c>
    </row>
    <row r="13" spans="1:18" ht="15.75" customHeight="1" outlineLevel="1">
      <c r="A13" s="37" t="s">
        <v>536</v>
      </c>
      <c r="B13" s="34" t="s">
        <v>111</v>
      </c>
      <c r="C13" s="36"/>
      <c r="D13" s="16" t="s">
        <v>537</v>
      </c>
      <c r="E13" s="168" t="s">
        <v>312</v>
      </c>
      <c r="F13" s="169"/>
      <c r="G13" s="17" t="s">
        <v>522</v>
      </c>
      <c r="H13" s="17" t="s">
        <v>538</v>
      </c>
      <c r="I13" s="23"/>
      <c r="J13" s="41"/>
      <c r="K13" s="12"/>
      <c r="L13" s="12"/>
      <c r="M13" s="49"/>
      <c r="N13" s="42"/>
      <c r="O13" s="43"/>
      <c r="P13" s="13"/>
      <c r="Q13" s="14" t="str">
        <f>CONCATENATE($Q$2,H13,$R$2,A13,$Q$2,",")</f>
        <v>"new_n_numcountriesincategory": "competition_countries_cnt",</v>
      </c>
      <c r="R13" s="14" t="str">
        <f t="shared" si="1"/>
        <v>"competition_countries_cnt": "Int64",</v>
      </c>
    </row>
    <row r="14" spans="1:18" ht="15.75" customHeight="1" outlineLevel="1">
      <c r="A14" s="37" t="s">
        <v>539</v>
      </c>
      <c r="B14" s="34" t="s">
        <v>78</v>
      </c>
      <c r="C14" s="36"/>
      <c r="D14" s="34" t="s">
        <v>404</v>
      </c>
      <c r="E14" s="168" t="s">
        <v>312</v>
      </c>
      <c r="F14" s="169"/>
      <c r="G14" s="17" t="s">
        <v>522</v>
      </c>
      <c r="H14" s="22" t="s">
        <v>448</v>
      </c>
      <c r="I14" s="17"/>
      <c r="J14" s="41"/>
      <c r="K14" s="12"/>
      <c r="L14" s="12"/>
      <c r="M14" s="49"/>
      <c r="N14" s="240"/>
      <c r="O14" s="241"/>
      <c r="P14" s="13"/>
      <c r="Q14" s="14" t="str">
        <f t="shared" ref="Q14:Q15" si="2">CONCATENATE($Q$2,H14,$R$2,A14,$Q$2,",")</f>
        <v>"new_pl_sex_label": "personal_gender",</v>
      </c>
      <c r="R14" s="14" t="str">
        <f t="shared" si="1"/>
        <v>"personal_gender": "string",</v>
      </c>
    </row>
    <row r="15" spans="1:18" ht="15.75" customHeight="1" outlineLevel="1">
      <c r="A15" s="136" t="s">
        <v>540</v>
      </c>
      <c r="B15" s="34" t="s">
        <v>78</v>
      </c>
      <c r="C15" s="36"/>
      <c r="D15" s="34" t="s">
        <v>541</v>
      </c>
      <c r="E15" s="168" t="s">
        <v>312</v>
      </c>
      <c r="F15" s="169"/>
      <c r="G15" s="17" t="s">
        <v>522</v>
      </c>
      <c r="H15" s="22" t="s">
        <v>542</v>
      </c>
      <c r="I15" s="48"/>
      <c r="J15" s="41"/>
      <c r="K15" s="12"/>
      <c r="L15" s="12"/>
      <c r="M15" s="49"/>
      <c r="N15" s="42"/>
      <c r="O15" s="43"/>
      <c r="P15" s="13"/>
      <c r="Q15" s="14" t="str">
        <f t="shared" si="2"/>
        <v>"_new_id_age_value": "age_code",</v>
      </c>
      <c r="R15" s="14" t="str">
        <f t="shared" si="1"/>
        <v>"age_code": "string",</v>
      </c>
    </row>
    <row r="16" spans="1:18" ht="15.75" customHeight="1" outlineLevel="1">
      <c r="A16" s="37" t="s">
        <v>543</v>
      </c>
      <c r="B16" s="34" t="s">
        <v>78</v>
      </c>
      <c r="C16" s="36"/>
      <c r="D16" s="16" t="s">
        <v>544</v>
      </c>
      <c r="E16" s="168" t="s">
        <v>312</v>
      </c>
      <c r="F16" s="169"/>
      <c r="G16" s="17" t="s">
        <v>522</v>
      </c>
      <c r="H16" s="17" t="s">
        <v>545</v>
      </c>
      <c r="I16" s="23"/>
      <c r="J16" s="41"/>
      <c r="K16" s="12"/>
      <c r="L16" s="12"/>
      <c r="M16" s="49"/>
      <c r="N16" s="240"/>
      <c r="O16" s="241"/>
      <c r="P16" s="13"/>
      <c r="Q16" s="14" t="str">
        <f t="shared" si="0"/>
        <v>"_new_id_age_value_label": "age_personal_name",</v>
      </c>
      <c r="R16" s="14" t="str">
        <f t="shared" si="1"/>
        <v>"age_personal_name": "string",</v>
      </c>
    </row>
    <row r="17" spans="1:18" ht="15.75" customHeight="1" outlineLevel="1">
      <c r="A17" s="37" t="s">
        <v>449</v>
      </c>
      <c r="B17" s="34" t="s">
        <v>78</v>
      </c>
      <c r="C17" s="36" t="e" vm="1">
        <v>#VALUE!</v>
      </c>
      <c r="D17" s="34" t="s">
        <v>502</v>
      </c>
      <c r="E17" s="168" t="s">
        <v>312</v>
      </c>
      <c r="F17" s="169"/>
      <c r="G17" s="17" t="s">
        <v>522</v>
      </c>
      <c r="H17" s="17" t="s">
        <v>451</v>
      </c>
      <c r="I17" s="23"/>
      <c r="J17" s="41"/>
      <c r="K17" s="12"/>
      <c r="L17" s="12"/>
      <c r="M17" s="49"/>
      <c r="N17" s="42"/>
      <c r="O17" s="43"/>
      <c r="P17" s="13"/>
      <c r="Q17" s="14" t="str">
        <f t="shared" si="0"/>
        <v>"_new_id_supportrequest_value": "support_request_code",</v>
      </c>
      <c r="R17" s="14" t="str">
        <f t="shared" si="1"/>
        <v>"support_request_code": "string",</v>
      </c>
    </row>
    <row r="18" spans="1:18" ht="15.75" customHeight="1" outlineLevel="1">
      <c r="A18" s="37" t="s">
        <v>365</v>
      </c>
      <c r="B18" s="34" t="s">
        <v>78</v>
      </c>
      <c r="C18" s="36" t="e" vm="1">
        <v>#VALUE!</v>
      </c>
      <c r="D18" s="16" t="s">
        <v>546</v>
      </c>
      <c r="E18" s="168" t="s">
        <v>312</v>
      </c>
      <c r="F18" s="169"/>
      <c r="G18" s="17" t="s">
        <v>522</v>
      </c>
      <c r="H18" s="22" t="s">
        <v>547</v>
      </c>
      <c r="I18" s="23"/>
      <c r="J18" s="41"/>
      <c r="K18" s="12"/>
      <c r="L18" s="12"/>
      <c r="M18" s="49"/>
      <c r="N18" s="42"/>
      <c r="O18" s="43"/>
      <c r="P18" s="13"/>
      <c r="Q18" s="14" t="str">
        <f t="shared" si="0"/>
        <v>"_new_id_subbranch_value": "branch_code",</v>
      </c>
      <c r="R18" s="14" t="str">
        <f t="shared" si="1"/>
        <v>"branch_code": "string",</v>
      </c>
    </row>
    <row r="19" spans="1:18" ht="15.75" customHeight="1" outlineLevel="1">
      <c r="A19" s="37" t="s">
        <v>39</v>
      </c>
      <c r="B19" s="34" t="s">
        <v>78</v>
      </c>
      <c r="C19" s="36"/>
      <c r="D19" s="16" t="s">
        <v>368</v>
      </c>
      <c r="E19" s="168" t="s">
        <v>312</v>
      </c>
      <c r="F19" s="169"/>
      <c r="G19" s="17" t="s">
        <v>522</v>
      </c>
      <c r="H19" s="22" t="s">
        <v>548</v>
      </c>
      <c r="I19" s="23"/>
      <c r="J19" s="41"/>
      <c r="K19" s="12"/>
      <c r="L19" s="12"/>
      <c r="M19" s="49"/>
      <c r="N19" s="42"/>
      <c r="O19" s="43"/>
      <c r="P19" s="13"/>
      <c r="Q19" s="14" t="str">
        <f t="shared" si="0"/>
        <v>"_new_id_subbranch_value_label": "branch_name",</v>
      </c>
      <c r="R19" s="14" t="str">
        <f t="shared" si="1"/>
        <v>"branch_name": "string",</v>
      </c>
    </row>
    <row r="20" spans="1:18" ht="15.75" customHeight="1" outlineLevel="1">
      <c r="A20" s="37" t="s">
        <v>549</v>
      </c>
      <c r="B20" s="55" t="s">
        <v>111</v>
      </c>
      <c r="C20" s="36"/>
      <c r="D20" s="16" t="s">
        <v>550</v>
      </c>
      <c r="E20" s="168" t="s">
        <v>312</v>
      </c>
      <c r="F20" s="169"/>
      <c r="G20" s="17" t="s">
        <v>522</v>
      </c>
      <c r="H20" s="17" t="s">
        <v>551</v>
      </c>
      <c r="I20" s="23"/>
      <c r="J20" s="41"/>
      <c r="K20" s="12"/>
      <c r="L20" s="12"/>
      <c r="M20" s="49"/>
      <c r="N20" s="42"/>
      <c r="O20" s="43"/>
      <c r="P20" s="13"/>
      <c r="Q20" s="14" t="str">
        <f t="shared" si="0"/>
        <v>"new_n_singlepairthreeetc": "competitor_team_size",</v>
      </c>
      <c r="R20" s="14" t="str">
        <f t="shared" si="1"/>
        <v>"competitor_team_size": "Int64",</v>
      </c>
    </row>
    <row r="21" spans="1:18" ht="15.75" customHeight="1" outlineLevel="1">
      <c r="A21" s="37" t="s">
        <v>552</v>
      </c>
      <c r="B21" s="34" t="s">
        <v>78</v>
      </c>
      <c r="C21" s="36"/>
      <c r="D21" s="16" t="s">
        <v>553</v>
      </c>
      <c r="E21" s="168" t="s">
        <v>312</v>
      </c>
      <c r="F21" s="169"/>
      <c r="G21" s="17" t="s">
        <v>522</v>
      </c>
      <c r="H21" s="17" t="s">
        <v>554</v>
      </c>
      <c r="I21" s="23"/>
      <c r="J21" s="41"/>
      <c r="K21" s="12"/>
      <c r="L21" s="12"/>
      <c r="M21" s="49"/>
      <c r="N21" s="42"/>
      <c r="O21" s="43"/>
      <c r="P21" s="13"/>
      <c r="Q21" s="14" t="str">
        <f t="shared" si="0"/>
        <v>"new_t_specialization_mainbranchachievements": "sport_weight_category",</v>
      </c>
      <c r="R21" s="14" t="str">
        <f t="shared" si="1"/>
        <v>"sport_weight_category": "string",</v>
      </c>
    </row>
    <row r="22" spans="1:18" ht="15.75" customHeight="1" outlineLevel="1">
      <c r="A22" s="37" t="s">
        <v>555</v>
      </c>
      <c r="B22" s="55" t="s">
        <v>111</v>
      </c>
      <c r="C22" s="36"/>
      <c r="D22" s="16" t="s">
        <v>556</v>
      </c>
      <c r="E22" s="168" t="s">
        <v>312</v>
      </c>
      <c r="F22" s="169"/>
      <c r="G22" s="17" t="s">
        <v>522</v>
      </c>
      <c r="H22" s="17" t="s">
        <v>557</v>
      </c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"new_n_numathletesincategory": "participants_cnt",</v>
      </c>
      <c r="R22" s="14" t="str">
        <f t="shared" si="1"/>
        <v>"participants_cnt": "Int64",</v>
      </c>
    </row>
    <row r="23" spans="1:18" ht="15.75" customHeight="1" outlineLevel="1">
      <c r="A23" s="37" t="s">
        <v>558</v>
      </c>
      <c r="B23" s="34" t="s">
        <v>78</v>
      </c>
      <c r="C23" s="36"/>
      <c r="D23" s="34" t="s">
        <v>559</v>
      </c>
      <c r="E23" s="168" t="s">
        <v>312</v>
      </c>
      <c r="F23" s="169"/>
      <c r="G23" s="17" t="s">
        <v>522</v>
      </c>
      <c r="H23" s="17" t="s">
        <v>560</v>
      </c>
      <c r="I23" s="23"/>
      <c r="J23" s="41"/>
      <c r="K23" s="12"/>
      <c r="L23" s="12"/>
      <c r="M23" s="49"/>
      <c r="N23" s="240"/>
      <c r="O23" s="241"/>
      <c r="P23" s="13"/>
      <c r="Q23" s="14" t="str">
        <f t="shared" si="0"/>
        <v>"new_pl_olympicprofessionworld_label": "is_olympic_profession_world",</v>
      </c>
      <c r="R23" s="14" t="str">
        <f t="shared" si="1"/>
        <v>"is_olympic_profession_world": "string",</v>
      </c>
    </row>
    <row r="24" spans="1:18" ht="15.75" customHeight="1" outlineLevel="1">
      <c r="A24" s="37" t="s">
        <v>335</v>
      </c>
      <c r="B24" s="55" t="s">
        <v>111</v>
      </c>
      <c r="C24" s="36"/>
      <c r="D24" s="34" t="s">
        <v>336</v>
      </c>
      <c r="E24" s="46" t="s">
        <v>312</v>
      </c>
      <c r="F24" s="47"/>
      <c r="G24" s="17" t="s">
        <v>522</v>
      </c>
      <c r="H24" s="61" t="s">
        <v>337</v>
      </c>
      <c r="I24" s="23"/>
      <c r="J24" s="41"/>
      <c r="K24" s="12"/>
      <c r="L24" s="12"/>
      <c r="M24" s="49"/>
      <c r="N24" s="240"/>
      <c r="O24" s="241"/>
      <c r="P24" s="13"/>
      <c r="Q24" s="14" t="str">
        <f t="shared" si="0"/>
        <v>"statecode": "is_inactive",</v>
      </c>
      <c r="R24" s="14" t="str">
        <f t="shared" si="1"/>
        <v>"is_inactive": "Int64",</v>
      </c>
    </row>
    <row r="25" spans="1:18" ht="15.75" customHeight="1" outlineLevel="1">
      <c r="A25" s="37" t="s">
        <v>338</v>
      </c>
      <c r="B25" s="55" t="s">
        <v>111</v>
      </c>
      <c r="C25" s="36"/>
      <c r="D25" s="34" t="s">
        <v>340</v>
      </c>
      <c r="E25" s="46" t="s">
        <v>312</v>
      </c>
      <c r="F25" s="47"/>
      <c r="G25" s="17" t="s">
        <v>522</v>
      </c>
      <c r="H25" s="62" t="s">
        <v>341</v>
      </c>
      <c r="I25" s="23"/>
      <c r="J25" s="41"/>
      <c r="K25" s="12"/>
      <c r="L25" s="12"/>
      <c r="M25" s="49"/>
      <c r="N25" s="240"/>
      <c r="O25" s="241"/>
      <c r="P25" s="13"/>
      <c r="Q25" s="14" t="str">
        <f t="shared" si="0"/>
        <v>"statuscode": "status_code",</v>
      </c>
      <c r="R25" s="14" t="str">
        <f t="shared" si="1"/>
        <v>"status_code": "Int64",</v>
      </c>
    </row>
    <row r="26" spans="1:18" ht="15.75" customHeight="1" outlineLevel="1">
      <c r="A26" s="37" t="s">
        <v>342</v>
      </c>
      <c r="B26" s="34" t="s">
        <v>239</v>
      </c>
      <c r="C26" s="36"/>
      <c r="D26" s="34" t="s">
        <v>343</v>
      </c>
      <c r="E26" s="46" t="s">
        <v>312</v>
      </c>
      <c r="F26" s="47"/>
      <c r="G26" s="17" t="s">
        <v>522</v>
      </c>
      <c r="H26" s="63" t="s">
        <v>344</v>
      </c>
      <c r="I26" s="23"/>
      <c r="J26" s="41"/>
      <c r="K26" s="12"/>
      <c r="L26" s="12"/>
      <c r="M26" s="49"/>
      <c r="N26" s="240"/>
      <c r="O26" s="241"/>
      <c r="P26" s="13"/>
      <c r="Q26" s="14" t="str">
        <f t="shared" si="0"/>
        <v>"modifiedon": "modified_on_date",</v>
      </c>
      <c r="R26" s="14" t="str">
        <f t="shared" si="1"/>
        <v>"modified_on_date": "datetime",</v>
      </c>
    </row>
    <row r="27" spans="1:18" ht="15.75" customHeight="1" outlineLevel="1">
      <c r="A27" s="37"/>
      <c r="B27" s="34"/>
      <c r="C27" s="36"/>
      <c r="D27" s="16"/>
      <c r="E27" s="168"/>
      <c r="F27" s="169"/>
      <c r="G27" s="17"/>
      <c r="H27" s="22"/>
      <c r="I27" s="23"/>
      <c r="J27" s="41"/>
      <c r="K27" s="12"/>
      <c r="L27" s="12"/>
      <c r="M27" s="49"/>
      <c r="N27" s="240"/>
      <c r="O27" s="241"/>
      <c r="P27" s="13"/>
      <c r="Q27" s="14" t="str">
        <f t="shared" si="0"/>
        <v>"": "",</v>
      </c>
      <c r="R27" s="14" t="str">
        <f t="shared" si="1"/>
        <v>"": "",</v>
      </c>
    </row>
    <row r="28" spans="1:18" ht="15.75" customHeight="1" outlineLevel="1">
      <c r="A28" s="38" t="s">
        <v>64</v>
      </c>
      <c r="B28" s="39"/>
      <c r="C28" s="40"/>
      <c r="D28" s="9"/>
      <c r="E28" s="168"/>
      <c r="F28" s="169"/>
      <c r="G28" s="17"/>
      <c r="H28" s="25"/>
      <c r="I28" s="24"/>
      <c r="J28" s="51"/>
      <c r="K28" s="3"/>
      <c r="L28" s="3"/>
      <c r="M28" s="49"/>
      <c r="N28" s="242"/>
      <c r="O28" s="243"/>
      <c r="P28" s="4"/>
      <c r="Q28" s="14" t="str">
        <f t="shared" ref="Q28:Q29" si="3">CONCATENATE($Q$2,H28,$R$2,A28,$Q$2,",")</f>
        <v>"": "Leave Empty",</v>
      </c>
      <c r="R28" s="14" t="str">
        <f t="shared" si="1"/>
        <v>"Leave Empty": "",</v>
      </c>
    </row>
    <row r="29" spans="1:18" ht="15.75" customHeight="1">
      <c r="E29" s="170"/>
      <c r="F29" s="146"/>
      <c r="G29" s="171"/>
      <c r="H29" s="155"/>
      <c r="I29" s="26"/>
      <c r="N29" s="226"/>
      <c r="O29" s="226"/>
      <c r="Q29" s="14" t="str">
        <f t="shared" si="3"/>
        <v>"": "",</v>
      </c>
      <c r="R29" s="14" t="str">
        <f t="shared" ref="R29" si="4">CONCATENATE($Q$2,A29,$R$2,B29,$Q$2,",")</f>
        <v>"": "",</v>
      </c>
    </row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</sheetData>
  <autoFilter ref="A8:P28" xr:uid="{00000000-0009-0000-0000-000000000000}"/>
  <mergeCells count="52">
    <mergeCell ref="E28:F28"/>
    <mergeCell ref="N28:O28"/>
    <mergeCell ref="E29:F29"/>
    <mergeCell ref="G29:H29"/>
    <mergeCell ref="N29:O29"/>
    <mergeCell ref="N24:O24"/>
    <mergeCell ref="N25:O25"/>
    <mergeCell ref="N26:O26"/>
    <mergeCell ref="E27:F27"/>
    <mergeCell ref="N27:O27"/>
    <mergeCell ref="E23:F23"/>
    <mergeCell ref="N16:O16"/>
    <mergeCell ref="E16:F16"/>
    <mergeCell ref="E17:F17"/>
    <mergeCell ref="N23:O23"/>
    <mergeCell ref="E18:F18"/>
    <mergeCell ref="E19:F19"/>
    <mergeCell ref="E20:F20"/>
    <mergeCell ref="E21:F21"/>
    <mergeCell ref="E22:F22"/>
    <mergeCell ref="Q2:Q5"/>
    <mergeCell ref="R2:R5"/>
    <mergeCell ref="C3:C5"/>
    <mergeCell ref="D3:D5"/>
    <mergeCell ref="F3:G3"/>
    <mergeCell ref="F4:G4"/>
    <mergeCell ref="F5:G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E15:F15"/>
    <mergeCell ref="B7:D7"/>
    <mergeCell ref="E7:I7"/>
    <mergeCell ref="J7:L7"/>
    <mergeCell ref="N7:P7"/>
    <mergeCell ref="E8:F8"/>
    <mergeCell ref="N8:O8"/>
    <mergeCell ref="E9:F9"/>
    <mergeCell ref="N9:O9"/>
    <mergeCell ref="E14:F14"/>
    <mergeCell ref="N14:O14"/>
    <mergeCell ref="E10:F10"/>
    <mergeCell ref="E11:F11"/>
    <mergeCell ref="E12:F12"/>
    <mergeCell ref="E13:F13"/>
  </mergeCells>
  <conditionalFormatting sqref="A9:A16">
    <cfRule type="expression" dxfId="82" priority="1">
      <formula>M9 = "On Hold"</formula>
    </cfRule>
  </conditionalFormatting>
  <conditionalFormatting sqref="A17">
    <cfRule type="expression" dxfId="81" priority="6">
      <formula>M7 = "On Hold"</formula>
    </cfRule>
  </conditionalFormatting>
  <conditionalFormatting sqref="A18:A22">
    <cfRule type="expression" dxfId="80" priority="3">
      <formula>M18 = "On Hold"</formula>
    </cfRule>
  </conditionalFormatting>
  <conditionalFormatting sqref="A23">
    <cfRule type="expression" dxfId="79" priority="41">
      <formula>M16 = "On Hold"</formula>
    </cfRule>
  </conditionalFormatting>
  <conditionalFormatting sqref="A24">
    <cfRule type="expression" dxfId="78" priority="50">
      <formula>#REF! = "On Hold"</formula>
    </cfRule>
  </conditionalFormatting>
  <conditionalFormatting sqref="A25:A26">
    <cfRule type="expression" dxfId="77" priority="40">
      <formula>M24 = "On Hold"</formula>
    </cfRule>
  </conditionalFormatting>
  <conditionalFormatting sqref="A27:A28">
    <cfRule type="expression" dxfId="76" priority="10">
      <formula>M27 = "On Hold"</formula>
    </cfRule>
  </conditionalFormatting>
  <conditionalFormatting sqref="B2:B5 J9:P28">
    <cfRule type="cellIs" dxfId="75" priority="11" operator="equal">
      <formula>"Done"</formula>
    </cfRule>
    <cfRule type="cellIs" dxfId="74" priority="12" operator="equal">
      <formula>"On Hold"</formula>
    </cfRule>
    <cfRule type="cellIs" dxfId="73" priority="13" operator="equal">
      <formula>"Ready for Review"</formula>
    </cfRule>
    <cfRule type="cellIs" dxfId="72" priority="14" operator="equal">
      <formula>"In Review"</formula>
    </cfRule>
  </conditionalFormatting>
  <dataValidations count="7">
    <dataValidation type="list" allowBlank="1" showErrorMessage="1" sqref="B2" xr:uid="{CF2D0DEE-BD57-4937-9A1B-7316BF129D4F}">
      <formula1>STT_Statuses</formula1>
    </dataValidation>
    <dataValidation type="list" allowBlank="1" sqref="B4:B5" xr:uid="{86213F9D-DC57-40D7-8F88-F02920E52B52}">
      <formula1>ETL_Statuses</formula1>
    </dataValidation>
    <dataValidation type="list" allowBlank="1" sqref="B3 M9:M28" xr:uid="{66ADD776-8FAB-4B13-98CD-9B9DE77C8A14}">
      <formula1>Statuses</formula1>
    </dataValidation>
    <dataValidation type="list" allowBlank="1" sqref="B26:B28 B21 B23 B9:B19" xr:uid="{D9A3DDF7-81F7-43A4-A392-B16C8D2070C5}">
      <formula1>Data_Types</formula1>
    </dataValidation>
    <dataValidation type="list" allowBlank="1" sqref="N9:N28" xr:uid="{79A34E0A-3FBF-45B8-8E6A-459AD6C12D49}">
      <formula1>Categories</formula1>
    </dataValidation>
    <dataValidation type="list" allowBlank="1" sqref="P9:P28" xr:uid="{D8246B20-14E1-4A98-B491-43B73D4DEDA9}">
      <formula1>Versions</formula1>
    </dataValidation>
    <dataValidation type="list" allowBlank="1" sqref="E9:E28" xr:uid="{7CE64963-A5D9-4EF0-A820-3E37A1D68403}">
      <formula1>Sources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0BA72-98F1-453B-98FA-D7F6A588CFAF}">
  <sheetPr>
    <tabColor rgb="FF00B050"/>
    <outlinePr summaryBelow="0" summaryRight="0"/>
  </sheetPr>
  <dimension ref="A1:R155"/>
  <sheetViews>
    <sheetView zoomScale="90" zoomScaleNormal="90" workbookViewId="0">
      <pane xSplit="1" ySplit="8" topLeftCell="B13" activePane="bottomRight" state="frozen"/>
      <selection pane="bottomRight" activeCell="A21" sqref="A21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520</v>
      </c>
      <c r="E3" s="148"/>
      <c r="F3" s="150" t="s">
        <v>561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 t="s">
        <v>520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562</v>
      </c>
      <c r="B9" s="34" t="s">
        <v>78</v>
      </c>
      <c r="C9" s="36" t="e" vm="1">
        <v>#VALUE!</v>
      </c>
      <c r="D9" s="34" t="s">
        <v>563</v>
      </c>
      <c r="E9" s="168" t="s">
        <v>312</v>
      </c>
      <c r="F9" s="169"/>
      <c r="G9" s="17" t="s">
        <v>520</v>
      </c>
      <c r="H9" s="17" t="s">
        <v>564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"new_groupialbranchachievementsid": "group_branch_achievements_code",</v>
      </c>
      <c r="R9" s="14" t="str">
        <f>CONCATENATE($Q$2,A9,$R$2,B9,$Q$2,",")</f>
        <v>"group_branch_achievements_code": "string",</v>
      </c>
    </row>
    <row r="10" spans="1:18" ht="15.75" customHeight="1" outlineLevel="1">
      <c r="A10" s="37" t="s">
        <v>449</v>
      </c>
      <c r="B10" s="34" t="s">
        <v>78</v>
      </c>
      <c r="C10" s="36"/>
      <c r="D10" s="34" t="s">
        <v>502</v>
      </c>
      <c r="E10" s="168" t="s">
        <v>312</v>
      </c>
      <c r="F10" s="169"/>
      <c r="G10" s="17" t="s">
        <v>520</v>
      </c>
      <c r="H10" s="17" t="s">
        <v>451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26" si="0">CONCATENATE($Q$2,H10,$R$2,A10,$Q$2,",")</f>
        <v>"_new_id_supportrequest_value": "support_request_code",</v>
      </c>
      <c r="R10" s="14" t="str">
        <f t="shared" ref="R10:R26" si="1">CONCATENATE($Q$2,A10,$R$2,B10,$Q$2,",")</f>
        <v>"support_request_code": "string",</v>
      </c>
    </row>
    <row r="11" spans="1:18" ht="15.75" customHeight="1" outlineLevel="1">
      <c r="A11" s="37" t="s">
        <v>400</v>
      </c>
      <c r="B11" s="34" t="s">
        <v>78</v>
      </c>
      <c r="C11" s="36"/>
      <c r="D11" s="34" t="s">
        <v>565</v>
      </c>
      <c r="E11" s="168" t="s">
        <v>312</v>
      </c>
      <c r="F11" s="169"/>
      <c r="G11" s="17" t="s">
        <v>520</v>
      </c>
      <c r="H11" s="22" t="s">
        <v>566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"_new_id_age_groupialbranchachievements_value": "age_group_code",</v>
      </c>
      <c r="R11" s="14" t="str">
        <f t="shared" si="1"/>
        <v>"age_group_code": "string",</v>
      </c>
    </row>
    <row r="12" spans="1:18" ht="15.75" customHeight="1" outlineLevel="1">
      <c r="A12" s="37" t="s">
        <v>567</v>
      </c>
      <c r="B12" s="34" t="s">
        <v>78</v>
      </c>
      <c r="C12" s="36"/>
      <c r="D12" s="34" t="s">
        <v>404</v>
      </c>
      <c r="E12" s="168" t="s">
        <v>312</v>
      </c>
      <c r="F12" s="169"/>
      <c r="G12" s="17" t="s">
        <v>520</v>
      </c>
      <c r="H12" s="17" t="s">
        <v>448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"new_pl_sex_label": "group_gender",</v>
      </c>
      <c r="R12" s="14" t="str">
        <f t="shared" si="1"/>
        <v>"group_gender": "string",</v>
      </c>
    </row>
    <row r="13" spans="1:18" ht="15.75" customHeight="1" outlineLevel="1">
      <c r="A13" s="37" t="s">
        <v>568</v>
      </c>
      <c r="B13" s="34" t="s">
        <v>217</v>
      </c>
      <c r="C13" s="36"/>
      <c r="D13" s="34" t="s">
        <v>569</v>
      </c>
      <c r="E13" s="168" t="s">
        <v>312</v>
      </c>
      <c r="F13" s="169"/>
      <c r="G13" s="17" t="s">
        <v>520</v>
      </c>
      <c r="H13" s="17" t="s">
        <v>570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"new_i_teamachievementscore": "group_achievements_score",</v>
      </c>
      <c r="R13" s="14" t="str">
        <f t="shared" si="1"/>
        <v>"group_achievements_score": "float64",</v>
      </c>
    </row>
    <row r="14" spans="1:18" ht="15.75" customHeight="1" outlineLevel="1">
      <c r="A14" s="37" t="s">
        <v>571</v>
      </c>
      <c r="B14" s="34" t="s">
        <v>111</v>
      </c>
      <c r="C14" s="36"/>
      <c r="D14" s="16" t="s">
        <v>572</v>
      </c>
      <c r="E14" s="168" t="s">
        <v>312</v>
      </c>
      <c r="F14" s="169"/>
      <c r="G14" s="17" t="s">
        <v>520</v>
      </c>
      <c r="H14" s="17" t="s">
        <v>573</v>
      </c>
      <c r="I14" s="23"/>
      <c r="J14" s="41"/>
      <c r="K14" s="12"/>
      <c r="L14" s="12"/>
      <c r="M14" s="49"/>
      <c r="N14" s="240"/>
      <c r="O14" s="241"/>
      <c r="P14" s="13"/>
      <c r="Q14" s="14" t="str">
        <f t="shared" si="0"/>
        <v>"_new_id_supportyear_value_label": "request_year",</v>
      </c>
      <c r="R14" s="14" t="str">
        <f t="shared" si="1"/>
        <v>"request_year": "Int64",</v>
      </c>
    </row>
    <row r="15" spans="1:18" ht="15.75" customHeight="1" outlineLevel="1">
      <c r="A15" s="37" t="s">
        <v>365</v>
      </c>
      <c r="B15" s="34" t="s">
        <v>78</v>
      </c>
      <c r="C15" s="36"/>
      <c r="D15" s="16" t="s">
        <v>546</v>
      </c>
      <c r="E15" s="168" t="s">
        <v>312</v>
      </c>
      <c r="F15" s="169"/>
      <c r="G15" s="17" t="s">
        <v>520</v>
      </c>
      <c r="H15" s="17" t="s">
        <v>547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"_new_id_subbranch_value": "branch_code",</v>
      </c>
      <c r="R15" s="14" t="str">
        <f t="shared" si="1"/>
        <v>"branch_code": "string",</v>
      </c>
    </row>
    <row r="16" spans="1:18" ht="15.75" customHeight="1" outlineLevel="1">
      <c r="A16" s="37" t="s">
        <v>574</v>
      </c>
      <c r="B16" s="34" t="s">
        <v>78</v>
      </c>
      <c r="C16" s="36"/>
      <c r="D16" s="34" t="s">
        <v>575</v>
      </c>
      <c r="E16" s="168" t="s">
        <v>312</v>
      </c>
      <c r="F16" s="169"/>
      <c r="G16" s="17" t="s">
        <v>520</v>
      </c>
      <c r="H16" s="22" t="s">
        <v>369</v>
      </c>
      <c r="I16" s="23"/>
      <c r="J16" s="41"/>
      <c r="K16" s="12"/>
      <c r="L16" s="12"/>
      <c r="M16" s="49"/>
      <c r="N16" s="240"/>
      <c r="O16" s="241"/>
      <c r="P16" s="13"/>
      <c r="Q16" s="14" t="str">
        <f t="shared" si="0"/>
        <v>"new_name": "group_name",</v>
      </c>
      <c r="R16" s="14" t="str">
        <f t="shared" si="1"/>
        <v>"group_name": "string",</v>
      </c>
    </row>
    <row r="17" spans="1:18" ht="15.75" customHeight="1" outlineLevel="1">
      <c r="A17" s="37" t="s">
        <v>39</v>
      </c>
      <c r="B17" s="34" t="s">
        <v>78</v>
      </c>
      <c r="C17" s="36"/>
      <c r="D17" s="16" t="s">
        <v>368</v>
      </c>
      <c r="E17" s="168" t="s">
        <v>312</v>
      </c>
      <c r="F17" s="169"/>
      <c r="G17" s="17" t="s">
        <v>520</v>
      </c>
      <c r="H17" s="22" t="s">
        <v>548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"_new_id_subbranch_value_label": "branch_name",</v>
      </c>
      <c r="R17" s="14" t="str">
        <f t="shared" si="1"/>
        <v>"branch_name": "string",</v>
      </c>
    </row>
    <row r="18" spans="1:18" ht="15.75" customHeight="1" outlineLevel="1">
      <c r="A18" s="37" t="s">
        <v>576</v>
      </c>
      <c r="B18" s="34" t="s">
        <v>78</v>
      </c>
      <c r="C18" s="36"/>
      <c r="D18" s="34" t="s">
        <v>577</v>
      </c>
      <c r="E18" s="168" t="s">
        <v>312</v>
      </c>
      <c r="F18" s="169"/>
      <c r="G18" s="17" t="s">
        <v>520</v>
      </c>
      <c r="H18" s="22" t="s">
        <v>578</v>
      </c>
      <c r="I18" s="23"/>
      <c r="J18" s="41"/>
      <c r="K18" s="12"/>
      <c r="L18" s="12"/>
      <c r="M18" s="49"/>
      <c r="N18" s="240"/>
      <c r="O18" s="241"/>
      <c r="P18" s="13"/>
      <c r="Q18" s="14" t="str">
        <f t="shared" si="0"/>
        <v>"_new_id_age_groupialbranchachievements_value_label": "age_group_name",</v>
      </c>
      <c r="R18" s="14" t="str">
        <f t="shared" si="1"/>
        <v>"age_group_name": "string",</v>
      </c>
    </row>
    <row r="19" spans="1:18" ht="15.75" customHeight="1" outlineLevel="1">
      <c r="A19" s="37" t="s">
        <v>526</v>
      </c>
      <c r="B19" s="34" t="s">
        <v>78</v>
      </c>
      <c r="C19" s="36"/>
      <c r="D19" s="16" t="s">
        <v>579</v>
      </c>
      <c r="E19" s="168" t="s">
        <v>312</v>
      </c>
      <c r="F19" s="169"/>
      <c r="G19" s="17" t="s">
        <v>520</v>
      </c>
      <c r="H19" s="22" t="s">
        <v>528</v>
      </c>
      <c r="I19" s="23"/>
      <c r="J19" s="41"/>
      <c r="K19" s="12"/>
      <c r="L19" s="12"/>
      <c r="M19" s="49"/>
      <c r="N19" s="240"/>
      <c r="O19" s="241"/>
      <c r="P19" s="13"/>
      <c r="Q19" s="14" t="str">
        <f t="shared" si="0"/>
        <v>"new_pl_championshiptype_label": "champion_type",</v>
      </c>
      <c r="R19" s="14" t="str">
        <f t="shared" si="1"/>
        <v>"champion_type": "string",</v>
      </c>
    </row>
    <row r="20" spans="1:18" ht="15.75" customHeight="1" outlineLevel="1">
      <c r="A20" s="131" t="s">
        <v>580</v>
      </c>
      <c r="B20" s="34" t="s">
        <v>530</v>
      </c>
      <c r="C20" s="36"/>
      <c r="D20" s="16" t="s">
        <v>581</v>
      </c>
      <c r="E20" s="168" t="s">
        <v>312</v>
      </c>
      <c r="F20" s="169"/>
      <c r="G20" s="17" t="s">
        <v>520</v>
      </c>
      <c r="H20" s="22" t="s">
        <v>582</v>
      </c>
      <c r="I20" s="23"/>
      <c r="J20" s="41"/>
      <c r="K20" s="12"/>
      <c r="L20" s="12"/>
      <c r="M20" s="49"/>
      <c r="N20" s="42"/>
      <c r="O20" s="43"/>
      <c r="P20" s="13"/>
      <c r="Q20" s="14" t="str">
        <f t="shared" si="0"/>
        <v>"new_dt_enddate": "end_date",</v>
      </c>
      <c r="R20" s="14" t="str">
        <f t="shared" si="1"/>
        <v>"end_date": "date",</v>
      </c>
    </row>
    <row r="21" spans="1:18" ht="15.75" customHeight="1" outlineLevel="1">
      <c r="A21" s="131" t="s">
        <v>536</v>
      </c>
      <c r="B21" s="34" t="s">
        <v>111</v>
      </c>
      <c r="C21" s="36"/>
      <c r="D21" s="16" t="s">
        <v>583</v>
      </c>
      <c r="E21" s="168" t="s">
        <v>312</v>
      </c>
      <c r="F21" s="169"/>
      <c r="G21" s="17" t="s">
        <v>520</v>
      </c>
      <c r="H21" s="22" t="s">
        <v>584</v>
      </c>
      <c r="I21" s="23"/>
      <c r="J21" s="41"/>
      <c r="K21" s="12"/>
      <c r="L21" s="12"/>
      <c r="M21" s="49"/>
      <c r="N21" s="42"/>
      <c r="O21" s="43"/>
      <c r="P21" s="13"/>
      <c r="Q21" s="14" t="str">
        <f t="shared" si="0"/>
        <v>"new_i_countriesnumincludingqualifiers": "competition_countries_cnt",</v>
      </c>
      <c r="R21" s="14" t="str">
        <f t="shared" si="1"/>
        <v>"competition_countries_cnt": "Int64",</v>
      </c>
    </row>
    <row r="22" spans="1:18" ht="15.75" customHeight="1" outlineLevel="1">
      <c r="A22" s="131" t="s">
        <v>518</v>
      </c>
      <c r="B22" s="34" t="s">
        <v>111</v>
      </c>
      <c r="C22" s="36"/>
      <c r="D22" s="16" t="s">
        <v>585</v>
      </c>
      <c r="E22" s="168" t="s">
        <v>312</v>
      </c>
      <c r="F22" s="169"/>
      <c r="G22" s="17" t="s">
        <v>520</v>
      </c>
      <c r="H22" s="22" t="s">
        <v>586</v>
      </c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"new_i_summeduppositioninchampionship": "competition_rank",</v>
      </c>
      <c r="R22" s="14" t="str">
        <f t="shared" si="1"/>
        <v>"competition_rank": "Int64",</v>
      </c>
    </row>
    <row r="23" spans="1:18" ht="15.75" customHeight="1" outlineLevel="1">
      <c r="A23" s="56" t="s">
        <v>335</v>
      </c>
      <c r="B23" s="57" t="s">
        <v>111</v>
      </c>
      <c r="C23" s="58"/>
      <c r="D23" s="134" t="s">
        <v>336</v>
      </c>
      <c r="E23" s="168" t="s">
        <v>312</v>
      </c>
      <c r="F23" s="169"/>
      <c r="G23" s="17" t="s">
        <v>520</v>
      </c>
      <c r="H23" s="61" t="s">
        <v>337</v>
      </c>
      <c r="I23" s="23"/>
      <c r="J23" s="41"/>
      <c r="K23" s="12"/>
      <c r="L23" s="12"/>
      <c r="M23" s="49"/>
      <c r="N23" s="42"/>
      <c r="O23" s="43"/>
      <c r="P23" s="13"/>
      <c r="Q23" s="14" t="str">
        <f t="shared" si="0"/>
        <v>"statecode": "is_inactive",</v>
      </c>
      <c r="R23" s="14" t="str">
        <f t="shared" si="1"/>
        <v>"is_inactive": "Int64",</v>
      </c>
    </row>
    <row r="24" spans="1:18" ht="15.75" customHeight="1" outlineLevel="1">
      <c r="A24" s="56" t="s">
        <v>338</v>
      </c>
      <c r="B24" s="59" t="s">
        <v>111</v>
      </c>
      <c r="C24" s="60"/>
      <c r="D24" s="135" t="s">
        <v>340</v>
      </c>
      <c r="E24" s="168" t="s">
        <v>312</v>
      </c>
      <c r="F24" s="169"/>
      <c r="G24" s="17" t="s">
        <v>520</v>
      </c>
      <c r="H24" s="62" t="s">
        <v>341</v>
      </c>
      <c r="I24" s="23"/>
      <c r="J24" s="41"/>
      <c r="K24" s="12"/>
      <c r="L24" s="12"/>
      <c r="M24" s="49"/>
      <c r="N24" s="42"/>
      <c r="O24" s="43"/>
      <c r="P24" s="13"/>
      <c r="Q24" s="14" t="str">
        <f t="shared" si="0"/>
        <v>"statuscode": "status_code",</v>
      </c>
      <c r="R24" s="14" t="str">
        <f t="shared" si="1"/>
        <v>"status_code": "Int64",</v>
      </c>
    </row>
    <row r="25" spans="1:18" ht="15.75" customHeight="1" outlineLevel="1">
      <c r="A25" s="56" t="s">
        <v>342</v>
      </c>
      <c r="B25" s="59" t="s">
        <v>239</v>
      </c>
      <c r="C25" s="60"/>
      <c r="D25" s="135" t="s">
        <v>343</v>
      </c>
      <c r="E25" s="168" t="s">
        <v>312</v>
      </c>
      <c r="F25" s="169"/>
      <c r="G25" s="17" t="s">
        <v>520</v>
      </c>
      <c r="H25" s="63" t="s">
        <v>344</v>
      </c>
      <c r="I25" s="48"/>
      <c r="J25" s="41"/>
      <c r="K25" s="12"/>
      <c r="L25" s="12"/>
      <c r="M25" s="45"/>
      <c r="N25" s="42"/>
      <c r="O25" s="43"/>
      <c r="P25" s="13"/>
      <c r="Q25" s="14" t="str">
        <f t="shared" si="0"/>
        <v>"modifiedon": "modified_on_date",</v>
      </c>
      <c r="R25" s="14" t="str">
        <f t="shared" si="1"/>
        <v>"modified_on_date": "datetime",</v>
      </c>
    </row>
    <row r="26" spans="1:18" ht="15.75" customHeight="1" outlineLevel="1">
      <c r="A26" s="37"/>
      <c r="B26" s="34"/>
      <c r="C26" s="36"/>
      <c r="D26" s="34"/>
      <c r="E26" s="168"/>
      <c r="F26" s="169"/>
      <c r="G26" s="17"/>
      <c r="H26" s="22"/>
      <c r="I26" s="23"/>
      <c r="J26" s="41"/>
      <c r="K26" s="12"/>
      <c r="L26" s="12"/>
      <c r="M26" s="45"/>
      <c r="N26" s="240"/>
      <c r="O26" s="241"/>
      <c r="P26" s="13"/>
      <c r="Q26" s="14" t="str">
        <f t="shared" si="0"/>
        <v>"": "",</v>
      </c>
      <c r="R26" s="14" t="str">
        <f t="shared" si="1"/>
        <v>"": "",</v>
      </c>
    </row>
    <row r="27" spans="1:18" ht="15.75" customHeight="1" outlineLevel="1">
      <c r="A27" s="38" t="s">
        <v>64</v>
      </c>
      <c r="B27" s="39"/>
      <c r="C27" s="40"/>
      <c r="D27" s="9"/>
      <c r="E27" s="168"/>
      <c r="F27" s="169"/>
      <c r="G27" s="17"/>
      <c r="H27" s="25"/>
      <c r="I27" s="24"/>
      <c r="J27" s="51"/>
      <c r="K27" s="3"/>
      <c r="L27" s="3"/>
      <c r="M27" s="49"/>
      <c r="N27" s="242"/>
      <c r="O27" s="243"/>
      <c r="P27" s="4"/>
      <c r="Q27" s="14" t="str">
        <f t="shared" ref="Q27" si="2">CONCATENATE($Q$2,H27,$R$2,A27,$Q$2,",")</f>
        <v>"": "Leave Empty",</v>
      </c>
      <c r="R27" s="14" t="str">
        <f t="shared" ref="R27" si="3">CONCATENATE($Q$2,A27,$R$2,B27,$Q$2,",")</f>
        <v>"Leave Empty": "",</v>
      </c>
    </row>
    <row r="28" spans="1:18" ht="15.75" customHeight="1">
      <c r="E28" s="170"/>
      <c r="F28" s="146"/>
      <c r="G28" s="171"/>
      <c r="H28" s="155"/>
      <c r="I28" s="26"/>
      <c r="N28" s="226"/>
      <c r="O28" s="226"/>
    </row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</sheetData>
  <autoFilter ref="A8:P27" xr:uid="{00000000-0009-0000-0000-000000000000}"/>
  <mergeCells count="57">
    <mergeCell ref="R2:R5"/>
    <mergeCell ref="E19:F19"/>
    <mergeCell ref="N19:O19"/>
    <mergeCell ref="E26:F26"/>
    <mergeCell ref="N26:O26"/>
    <mergeCell ref="E15:F15"/>
    <mergeCell ref="N15:O15"/>
    <mergeCell ref="E16:F16"/>
    <mergeCell ref="N16:O16"/>
    <mergeCell ref="E13:F13"/>
    <mergeCell ref="N13:O13"/>
    <mergeCell ref="E14:F14"/>
    <mergeCell ref="N14:O14"/>
    <mergeCell ref="E11:F11"/>
    <mergeCell ref="N11:O11"/>
    <mergeCell ref="E12:F12"/>
    <mergeCell ref="E28:F28"/>
    <mergeCell ref="G28:H28"/>
    <mergeCell ref="N28:O28"/>
    <mergeCell ref="E17:F17"/>
    <mergeCell ref="N17:O17"/>
    <mergeCell ref="E18:F18"/>
    <mergeCell ref="N18:O18"/>
    <mergeCell ref="E23:F23"/>
    <mergeCell ref="E24:F24"/>
    <mergeCell ref="E25:F25"/>
    <mergeCell ref="E27:F27"/>
    <mergeCell ref="N27:O27"/>
    <mergeCell ref="E20:F20"/>
    <mergeCell ref="E21:F21"/>
    <mergeCell ref="E22:F22"/>
    <mergeCell ref="N12:O12"/>
    <mergeCell ref="E9:F9"/>
    <mergeCell ref="N9:O9"/>
    <mergeCell ref="E10:F10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C3:C5"/>
    <mergeCell ref="D3:D5"/>
    <mergeCell ref="F3:G3"/>
    <mergeCell ref="F4:G4"/>
    <mergeCell ref="F5:G5"/>
  </mergeCells>
  <phoneticPr fontId="20" type="noConversion"/>
  <conditionalFormatting sqref="A9:A22">
    <cfRule type="expression" dxfId="71" priority="1">
      <formula>M9 = "On Hold"</formula>
    </cfRule>
  </conditionalFormatting>
  <conditionalFormatting sqref="A26:A27">
    <cfRule type="expression" dxfId="70" priority="5">
      <formula>M26 = "On Hold"</formula>
    </cfRule>
  </conditionalFormatting>
  <conditionalFormatting sqref="B2:B5 J9:P27">
    <cfRule type="cellIs" dxfId="69" priority="3" operator="equal">
      <formula>"Done"</formula>
    </cfRule>
    <cfRule type="cellIs" dxfId="68" priority="4" operator="equal">
      <formula>"On Hold"</formula>
    </cfRule>
    <cfRule type="cellIs" dxfId="67" priority="6" operator="equal">
      <formula>"Ready for Review"</formula>
    </cfRule>
    <cfRule type="cellIs" dxfId="66" priority="7" operator="equal">
      <formula>"In Review"</formula>
    </cfRule>
  </conditionalFormatting>
  <dataValidations count="7">
    <dataValidation type="list" allowBlank="1" showErrorMessage="1" sqref="B2" xr:uid="{4E59746F-44C1-4115-BF64-1A542580DCB2}">
      <formula1>STT_Statuses</formula1>
    </dataValidation>
    <dataValidation type="list" allowBlank="1" sqref="B4:B5" xr:uid="{9899731E-ABFB-43EF-AA52-86DBF258D08B}">
      <formula1>ETL_Statuses</formula1>
    </dataValidation>
    <dataValidation type="list" allowBlank="1" sqref="B3 M9:M27" xr:uid="{3864C0B4-30A9-45B5-9303-1ECD43EE1A6C}">
      <formula1>Statuses</formula1>
    </dataValidation>
    <dataValidation type="list" allowBlank="1" sqref="N9:N27" xr:uid="{FB6045C4-A1AA-4219-9ECC-03A7E5DB322F}">
      <formula1>Categories</formula1>
    </dataValidation>
    <dataValidation type="list" allowBlank="1" sqref="P9:P27" xr:uid="{98D1F406-9CDE-47A0-B08F-44A85A299D5C}">
      <formula1>Versions</formula1>
    </dataValidation>
    <dataValidation type="list" allowBlank="1" sqref="E9:E27" xr:uid="{10411F92-621A-4B65-A833-DB916D794A94}">
      <formula1>Sources</formula1>
    </dataValidation>
    <dataValidation type="list" allowBlank="1" sqref="B26:B27 B9:B20" xr:uid="{41AB7609-2647-4495-B1BB-B65FB7CB377E}">
      <formula1>Data_Types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93C88-B88A-4E98-9E47-A3E4033C1684}">
  <sheetPr>
    <tabColor rgb="FF00B050"/>
    <outlinePr summaryBelow="0" summaryRight="0"/>
  </sheetPr>
  <dimension ref="A1:R150"/>
  <sheetViews>
    <sheetView zoomScale="70" zoomScaleNormal="70" workbookViewId="0">
      <pane xSplit="1" ySplit="8" topLeftCell="F9" activePane="bottomRight" state="frozen"/>
      <selection pane="bottomRight" activeCell="N13" sqref="N13:O13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587</v>
      </c>
      <c r="E3" s="148"/>
      <c r="F3" s="150" t="s">
        <v>588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 t="s">
        <v>587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589</v>
      </c>
      <c r="B9" s="34" t="s">
        <v>78</v>
      </c>
      <c r="C9" s="36" t="e" vm="1">
        <v>#VALUE!</v>
      </c>
      <c r="D9" s="34" t="s">
        <v>590</v>
      </c>
      <c r="E9" s="168" t="s">
        <v>312</v>
      </c>
      <c r="F9" s="169"/>
      <c r="G9" s="17" t="s">
        <v>587</v>
      </c>
      <c r="H9" s="17" t="s">
        <v>591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"new_branchtoaccountid": "branch_to_account_code",</v>
      </c>
      <c r="R9" s="14" t="str">
        <f>CONCATENATE($Q$2,A9,$R$2,B9,$Q$2,",")</f>
        <v>"branch_to_account_code": "string",</v>
      </c>
    </row>
    <row r="10" spans="1:18" ht="15.75" customHeight="1" outlineLevel="1">
      <c r="A10" s="37" t="s">
        <v>592</v>
      </c>
      <c r="B10" s="34" t="s">
        <v>78</v>
      </c>
      <c r="C10" s="36"/>
      <c r="D10" s="16" t="s">
        <v>593</v>
      </c>
      <c r="E10" s="168" t="s">
        <v>312</v>
      </c>
      <c r="F10" s="169"/>
      <c r="G10" s="17" t="s">
        <v>587</v>
      </c>
      <c r="H10" s="22" t="s">
        <v>369</v>
      </c>
      <c r="I10" s="17"/>
      <c r="J10" s="41"/>
      <c r="K10" s="12"/>
      <c r="L10" s="12"/>
      <c r="M10" s="49"/>
      <c r="N10" s="240"/>
      <c r="O10" s="241"/>
      <c r="P10" s="13"/>
      <c r="Q10" s="14" t="str">
        <f t="shared" ref="Q10:Q21" si="0">CONCATENATE($Q$2,H10,$R$2,A10,$Q$2,",")</f>
        <v>"new_name": "branch_to_account_name",</v>
      </c>
      <c r="R10" s="14" t="str">
        <f t="shared" ref="R10:R21" si="1">CONCATENATE($Q$2,A10,$R$2,B10,$Q$2,",")</f>
        <v>"branch_to_account_name": "string",</v>
      </c>
    </row>
    <row r="11" spans="1:18" ht="15.75" customHeight="1" outlineLevel="1">
      <c r="A11" s="37" t="s">
        <v>316</v>
      </c>
      <c r="B11" s="34" t="s">
        <v>78</v>
      </c>
      <c r="C11" s="36"/>
      <c r="D11" s="34" t="s">
        <v>594</v>
      </c>
      <c r="E11" s="168" t="s">
        <v>312</v>
      </c>
      <c r="F11" s="169"/>
      <c r="G11" s="17" t="s">
        <v>587</v>
      </c>
      <c r="H11" s="17" t="s">
        <v>595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"_new_id_account_value": "association_code",</v>
      </c>
      <c r="R11" s="14" t="str">
        <f t="shared" si="1"/>
        <v>"association_code": "string",</v>
      </c>
    </row>
    <row r="12" spans="1:18" ht="15.75" customHeight="1" outlineLevel="1">
      <c r="A12" s="37" t="s">
        <v>365</v>
      </c>
      <c r="B12" s="34" t="s">
        <v>78</v>
      </c>
      <c r="C12" s="36"/>
      <c r="D12" s="34" t="s">
        <v>596</v>
      </c>
      <c r="E12" s="168" t="s">
        <v>312</v>
      </c>
      <c r="F12" s="169"/>
      <c r="G12" s="17" t="s">
        <v>587</v>
      </c>
      <c r="H12" s="17" t="s">
        <v>597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"_new_branch_value": "branch_code",</v>
      </c>
      <c r="R12" s="14" t="str">
        <f t="shared" si="1"/>
        <v>"branch_code": "string",</v>
      </c>
    </row>
    <row r="13" spans="1:18" ht="15.75" customHeight="1" outlineLevel="1">
      <c r="A13" s="118" t="s">
        <v>598</v>
      </c>
      <c r="B13" s="119" t="s">
        <v>78</v>
      </c>
      <c r="C13" s="120"/>
      <c r="D13" s="119" t="s">
        <v>599</v>
      </c>
      <c r="E13" s="220" t="s">
        <v>312</v>
      </c>
      <c r="F13" s="221"/>
      <c r="G13" s="121" t="s">
        <v>587</v>
      </c>
      <c r="H13" s="121" t="s">
        <v>600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"new_pl_branchtype_label": "personal_or_group_branch",</v>
      </c>
      <c r="R13" s="14" t="str">
        <f t="shared" si="1"/>
        <v>"personal_or_group_branch": "string",</v>
      </c>
    </row>
    <row r="14" spans="1:18" ht="15.75" customHeight="1" outlineLevel="1">
      <c r="A14" s="118" t="s">
        <v>601</v>
      </c>
      <c r="B14" s="129" t="s">
        <v>111</v>
      </c>
      <c r="C14" s="120"/>
      <c r="D14" s="130" t="s">
        <v>602</v>
      </c>
      <c r="E14" s="220" t="s">
        <v>312</v>
      </c>
      <c r="F14" s="221"/>
      <c r="G14" s="121" t="s">
        <v>587</v>
      </c>
      <c r="H14" s="121" t="s">
        <v>603</v>
      </c>
      <c r="I14" s="23"/>
      <c r="J14" s="41"/>
      <c r="K14" s="12"/>
      <c r="L14" s="12"/>
      <c r="M14" s="49"/>
      <c r="N14" s="240"/>
      <c r="O14" s="241"/>
      <c r="P14" s="13"/>
      <c r="Q14" s="14" t="str">
        <f t="shared" si="0"/>
        <v>"new_b_includessubbranches_label": "is_include_sub_branch",</v>
      </c>
      <c r="R14" s="14" t="str">
        <f t="shared" si="1"/>
        <v>"is_include_sub_branch": "Int64",</v>
      </c>
    </row>
    <row r="15" spans="1:18" ht="15.75" customHeight="1" outlineLevel="1">
      <c r="A15" s="118" t="s">
        <v>391</v>
      </c>
      <c r="B15" s="129" t="s">
        <v>111</v>
      </c>
      <c r="C15" s="120"/>
      <c r="D15" s="119" t="s">
        <v>392</v>
      </c>
      <c r="E15" s="220" t="s">
        <v>312</v>
      </c>
      <c r="F15" s="221"/>
      <c r="G15" s="121" t="s">
        <v>587</v>
      </c>
      <c r="H15" s="121" t="s">
        <v>604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"new_b_branchwithspecialneeds_label": "is_special_needs_branch",</v>
      </c>
      <c r="R15" s="14" t="str">
        <f t="shared" si="1"/>
        <v>"is_special_needs_branch": "Int64",</v>
      </c>
    </row>
    <row r="16" spans="1:18" ht="15.75" customHeight="1" outlineLevel="1">
      <c r="A16" s="37" t="s">
        <v>319</v>
      </c>
      <c r="B16" s="34" t="s">
        <v>78</v>
      </c>
      <c r="C16" s="36"/>
      <c r="D16" s="34" t="s">
        <v>605</v>
      </c>
      <c r="E16" s="168" t="s">
        <v>312</v>
      </c>
      <c r="F16" s="169"/>
      <c r="G16" s="17" t="s">
        <v>587</v>
      </c>
      <c r="H16" s="22" t="s">
        <v>606</v>
      </c>
      <c r="I16" s="23"/>
      <c r="J16" s="41"/>
      <c r="K16" s="12"/>
      <c r="L16" s="12"/>
      <c r="M16" s="49"/>
      <c r="N16" s="240"/>
      <c r="O16" s="241"/>
      <c r="P16" s="13"/>
      <c r="Q16" s="14" t="str">
        <f t="shared" si="0"/>
        <v>"_new_id_account_value_label": "association_name",</v>
      </c>
      <c r="R16" s="14" t="str">
        <f t="shared" si="1"/>
        <v>"association_name": "string",</v>
      </c>
    </row>
    <row r="17" spans="1:18" ht="15.75" customHeight="1" outlineLevel="1">
      <c r="A17" s="37" t="s">
        <v>39</v>
      </c>
      <c r="B17" s="34" t="s">
        <v>78</v>
      </c>
      <c r="C17" s="36"/>
      <c r="D17" s="16" t="s">
        <v>368</v>
      </c>
      <c r="E17" s="168" t="s">
        <v>312</v>
      </c>
      <c r="F17" s="169"/>
      <c r="G17" s="17" t="s">
        <v>587</v>
      </c>
      <c r="H17" s="22" t="s">
        <v>607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"_new_branch_value_label": "branch_name",</v>
      </c>
      <c r="R17" s="14" t="str">
        <f t="shared" si="1"/>
        <v>"branch_name": "string",</v>
      </c>
    </row>
    <row r="18" spans="1:18" ht="15.75" customHeight="1" outlineLevel="1">
      <c r="A18" s="37" t="s">
        <v>335</v>
      </c>
      <c r="B18" s="55" t="s">
        <v>111</v>
      </c>
      <c r="C18" s="36"/>
      <c r="D18" s="34" t="s">
        <v>336</v>
      </c>
      <c r="E18" s="168" t="s">
        <v>312</v>
      </c>
      <c r="F18" s="169"/>
      <c r="G18" s="17" t="s">
        <v>587</v>
      </c>
      <c r="H18" s="17" t="s">
        <v>337</v>
      </c>
      <c r="I18" s="23"/>
      <c r="J18" s="41"/>
      <c r="K18" s="12"/>
      <c r="L18" s="12"/>
      <c r="M18" s="49"/>
      <c r="N18" s="240"/>
      <c r="O18" s="241"/>
      <c r="P18" s="13"/>
      <c r="Q18" s="14" t="str">
        <f t="shared" si="0"/>
        <v>"statecode": "is_inactive",</v>
      </c>
      <c r="R18" s="14" t="str">
        <f t="shared" si="1"/>
        <v>"is_inactive": "Int64",</v>
      </c>
    </row>
    <row r="19" spans="1:18" ht="15.75" customHeight="1" outlineLevel="1">
      <c r="A19" s="37" t="s">
        <v>338</v>
      </c>
      <c r="B19" s="55" t="s">
        <v>111</v>
      </c>
      <c r="C19" s="36"/>
      <c r="D19" s="34" t="s">
        <v>340</v>
      </c>
      <c r="E19" s="168" t="s">
        <v>312</v>
      </c>
      <c r="F19" s="169"/>
      <c r="G19" s="17" t="s">
        <v>587</v>
      </c>
      <c r="H19" s="22" t="s">
        <v>341</v>
      </c>
      <c r="I19" s="23"/>
      <c r="J19" s="41"/>
      <c r="K19" s="12"/>
      <c r="L19" s="12"/>
      <c r="M19" s="49"/>
      <c r="N19" s="42"/>
      <c r="O19" s="43"/>
      <c r="P19" s="13"/>
      <c r="Q19" s="14" t="str">
        <f t="shared" si="0"/>
        <v>"statuscode": "status_code",</v>
      </c>
      <c r="R19" s="14" t="str">
        <f t="shared" si="1"/>
        <v>"status_code": "Int64",</v>
      </c>
    </row>
    <row r="20" spans="1:18" ht="15.75" customHeight="1" outlineLevel="1">
      <c r="A20" s="37" t="s">
        <v>342</v>
      </c>
      <c r="B20" s="34" t="s">
        <v>239</v>
      </c>
      <c r="C20" s="36"/>
      <c r="D20" s="34" t="s">
        <v>343</v>
      </c>
      <c r="E20" s="168" t="s">
        <v>312</v>
      </c>
      <c r="F20" s="169"/>
      <c r="G20" s="17" t="s">
        <v>587</v>
      </c>
      <c r="H20" s="17" t="s">
        <v>344</v>
      </c>
      <c r="I20" s="48"/>
      <c r="J20" s="41"/>
      <c r="K20" s="12"/>
      <c r="L20" s="12"/>
      <c r="M20" s="45"/>
      <c r="N20" s="42"/>
      <c r="O20" s="43"/>
      <c r="P20" s="13"/>
      <c r="Q20" s="14" t="str">
        <f t="shared" si="0"/>
        <v>"modifiedon": "modified_on_date",</v>
      </c>
      <c r="R20" s="14" t="str">
        <f t="shared" si="1"/>
        <v>"modified_on_date": "datetime",</v>
      </c>
    </row>
    <row r="21" spans="1:18" ht="15.75" customHeight="1" outlineLevel="1">
      <c r="A21" s="37"/>
      <c r="B21" s="34"/>
      <c r="C21" s="36"/>
      <c r="D21" s="34"/>
      <c r="E21" s="168"/>
      <c r="F21" s="169"/>
      <c r="G21" s="17"/>
      <c r="H21" s="22"/>
      <c r="I21" s="23"/>
      <c r="J21" s="41"/>
      <c r="K21" s="12"/>
      <c r="L21" s="12"/>
      <c r="M21" s="45"/>
      <c r="N21" s="240"/>
      <c r="O21" s="241"/>
      <c r="P21" s="13"/>
      <c r="Q21" s="14" t="str">
        <f t="shared" si="0"/>
        <v>"": "",</v>
      </c>
      <c r="R21" s="14" t="str">
        <f t="shared" si="1"/>
        <v>"": "",</v>
      </c>
    </row>
    <row r="22" spans="1:18" ht="15.75" customHeight="1" outlineLevel="1">
      <c r="A22" s="38" t="s">
        <v>64</v>
      </c>
      <c r="B22" s="39"/>
      <c r="C22" s="40"/>
      <c r="D22" s="9"/>
      <c r="E22" s="168"/>
      <c r="F22" s="169"/>
      <c r="G22" s="17"/>
      <c r="H22" s="25"/>
      <c r="I22" s="24"/>
      <c r="J22" s="51"/>
      <c r="K22" s="3"/>
      <c r="L22" s="3"/>
      <c r="M22" s="49"/>
      <c r="N22" s="242"/>
      <c r="O22" s="243"/>
      <c r="P22" s="4"/>
      <c r="Q22" s="14" t="str">
        <f t="shared" ref="Q22" si="2">CONCATENATE($Q$2,H22,$R$2,A22,$Q$2,",")</f>
        <v>"": "Leave Empty",</v>
      </c>
      <c r="R22" s="14" t="str">
        <f t="shared" ref="R22" si="3">CONCATENATE($Q$2,A22,$R$2,B22,$Q$2,",")</f>
        <v>"Leave Empty": "",</v>
      </c>
    </row>
    <row r="23" spans="1:18" ht="15.75" customHeight="1">
      <c r="E23" s="170"/>
      <c r="F23" s="146"/>
      <c r="G23" s="171"/>
      <c r="H23" s="155"/>
      <c r="I23" s="26"/>
      <c r="N23" s="226"/>
      <c r="O23" s="226"/>
    </row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</sheetData>
  <autoFilter ref="A8:P22" xr:uid="{00000000-0009-0000-0000-000000000000}"/>
  <mergeCells count="52">
    <mergeCell ref="E21:F21"/>
    <mergeCell ref="N21:O21"/>
    <mergeCell ref="E22:F22"/>
    <mergeCell ref="N22:O22"/>
    <mergeCell ref="E23:F23"/>
    <mergeCell ref="G23:H23"/>
    <mergeCell ref="N23:O23"/>
    <mergeCell ref="E17:F17"/>
    <mergeCell ref="N17:O17"/>
    <mergeCell ref="E18:F18"/>
    <mergeCell ref="N18:O18"/>
    <mergeCell ref="E15:F15"/>
    <mergeCell ref="N15:O15"/>
    <mergeCell ref="E16:F16"/>
    <mergeCell ref="N16:O16"/>
    <mergeCell ref="E14:F14"/>
    <mergeCell ref="N14:O14"/>
    <mergeCell ref="E11:F11"/>
    <mergeCell ref="N11:O11"/>
    <mergeCell ref="E12:F12"/>
    <mergeCell ref="N12:O12"/>
    <mergeCell ref="N7:P7"/>
    <mergeCell ref="E8:F8"/>
    <mergeCell ref="N8:O8"/>
    <mergeCell ref="E13:F13"/>
    <mergeCell ref="N13:O13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R2:R5"/>
    <mergeCell ref="E19:F19"/>
    <mergeCell ref="E20:F20"/>
    <mergeCell ref="Q2:Q5"/>
    <mergeCell ref="C3:C5"/>
    <mergeCell ref="D3:D5"/>
    <mergeCell ref="F3:G3"/>
    <mergeCell ref="F4:G4"/>
    <mergeCell ref="F5:G5"/>
    <mergeCell ref="E9:F9"/>
    <mergeCell ref="N9:O9"/>
    <mergeCell ref="E10:F10"/>
    <mergeCell ref="N10:O10"/>
    <mergeCell ref="B7:D7"/>
    <mergeCell ref="E7:I7"/>
    <mergeCell ref="J7:L7"/>
  </mergeCells>
  <phoneticPr fontId="13" type="noConversion"/>
  <conditionalFormatting sqref="A9:A22">
    <cfRule type="expression" dxfId="65" priority="1">
      <formula>M9 = "On Hold"</formula>
    </cfRule>
  </conditionalFormatting>
  <conditionalFormatting sqref="B2:B5 J9:P22">
    <cfRule type="cellIs" dxfId="64" priority="4" operator="equal">
      <formula>"Done"</formula>
    </cfRule>
    <cfRule type="cellIs" dxfId="63" priority="5" operator="equal">
      <formula>"On Hold"</formula>
    </cfRule>
    <cfRule type="cellIs" dxfId="62" priority="7" operator="equal">
      <formula>"Ready for Review"</formula>
    </cfRule>
    <cfRule type="cellIs" dxfId="61" priority="8" operator="equal">
      <formula>"In Review"</formula>
    </cfRule>
  </conditionalFormatting>
  <dataValidations count="7">
    <dataValidation type="list" allowBlank="1" sqref="B3 M9:M22" xr:uid="{9DFC794B-9AC6-4815-AD11-4D785769B225}">
      <formula1>Statuses</formula1>
    </dataValidation>
    <dataValidation type="list" allowBlank="1" sqref="B4:B5" xr:uid="{92BBE85D-B21E-40DB-9CD1-6F80F674E956}">
      <formula1>ETL_Statuses</formula1>
    </dataValidation>
    <dataValidation type="list" allowBlank="1" showErrorMessage="1" sqref="B2" xr:uid="{D0F84989-102D-4208-A9A4-A711F099EA4D}">
      <formula1>STT_Statuses</formula1>
    </dataValidation>
    <dataValidation type="list" allowBlank="1" sqref="B9:B13 B20:B22 B16:B17" xr:uid="{206E54EE-76FA-4158-9824-FBD2D2066FA3}">
      <formula1>Data_Types</formula1>
    </dataValidation>
    <dataValidation type="list" allowBlank="1" sqref="E9:E22" xr:uid="{6B888458-CD64-4A60-AA59-0D668B623B81}">
      <formula1>Sources</formula1>
    </dataValidation>
    <dataValidation type="list" allowBlank="1" sqref="P9:P22" xr:uid="{6C51191C-5C87-43C2-B1B6-CF71A05802CF}">
      <formula1>Versions</formula1>
    </dataValidation>
    <dataValidation type="list" allowBlank="1" sqref="N9:N22" xr:uid="{D1347B72-AFFE-433C-97D7-3EF61BC35248}">
      <formula1>Categories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E138A-0EC8-45DC-863D-3558B878EF3B}">
  <sheetPr>
    <tabColor rgb="FF00B050"/>
    <outlinePr summaryBelow="0" summaryRight="0"/>
  </sheetPr>
  <dimension ref="A1:R147"/>
  <sheetViews>
    <sheetView workbookViewId="0">
      <pane xSplit="1" ySplit="8" topLeftCell="B17" activePane="bottomRight" state="frozen"/>
      <selection pane="bottomRight" activeCell="H24" sqref="H24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608</v>
      </c>
      <c r="E3" s="148"/>
      <c r="F3" s="150" t="s">
        <v>609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 t="s">
        <v>608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610</v>
      </c>
      <c r="B9" s="34" t="s">
        <v>78</v>
      </c>
      <c r="C9" s="36" t="e" vm="1">
        <v>#VALUE!</v>
      </c>
      <c r="D9" s="34" t="s">
        <v>611</v>
      </c>
      <c r="E9" s="168" t="s">
        <v>312</v>
      </c>
      <c r="F9" s="169"/>
      <c r="G9" s="17" t="s">
        <v>608</v>
      </c>
      <c r="H9" s="17" t="s">
        <v>612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"new_aa_leagueid": "league_code",</v>
      </c>
      <c r="R9" s="14" t="str">
        <f>CONCATENATE($Q$2,A9,$R$2,B9,$Q$2,",")</f>
        <v>"league_code": "string",</v>
      </c>
    </row>
    <row r="10" spans="1:18" ht="15.75" customHeight="1" outlineLevel="1">
      <c r="A10" s="37" t="s">
        <v>613</v>
      </c>
      <c r="B10" s="34" t="s">
        <v>78</v>
      </c>
      <c r="C10" s="36"/>
      <c r="D10" s="34" t="s">
        <v>614</v>
      </c>
      <c r="E10" s="168" t="s">
        <v>312</v>
      </c>
      <c r="F10" s="169"/>
      <c r="G10" s="17" t="s">
        <v>608</v>
      </c>
      <c r="H10" s="61" t="s">
        <v>369</v>
      </c>
      <c r="I10" s="17"/>
      <c r="J10" s="41"/>
      <c r="K10" s="12"/>
      <c r="L10" s="12"/>
      <c r="M10" s="49"/>
      <c r="N10" s="240"/>
      <c r="O10" s="241"/>
      <c r="P10" s="13"/>
      <c r="Q10" s="14" t="str">
        <f t="shared" ref="Q10:Q15" si="0">CONCATENATE($Q$2,H10,$R$2,A10,$Q$2,",")</f>
        <v>"new_name": "league_name",</v>
      </c>
      <c r="R10" s="14" t="str">
        <f t="shared" ref="R10:R15" si="1">CONCATENATE($Q$2,A10,$R$2,B10,$Q$2,",")</f>
        <v>"league_name": "string",</v>
      </c>
    </row>
    <row r="11" spans="1:18" ht="15.75" customHeight="1" outlineLevel="1">
      <c r="A11" s="37" t="s">
        <v>615</v>
      </c>
      <c r="B11" s="34" t="s">
        <v>78</v>
      </c>
      <c r="C11" s="36"/>
      <c r="D11" s="34" t="s">
        <v>616</v>
      </c>
      <c r="E11" s="168" t="s">
        <v>312</v>
      </c>
      <c r="F11" s="169"/>
      <c r="G11" s="17" t="s">
        <v>608</v>
      </c>
      <c r="H11" s="63" t="s">
        <v>617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"_new_id_requestsupport_value": "request_support_code",</v>
      </c>
      <c r="R11" s="14" t="str">
        <f t="shared" si="1"/>
        <v>"request_support_code": "string",</v>
      </c>
    </row>
    <row r="12" spans="1:18" ht="15.75" customHeight="1" outlineLevel="1">
      <c r="A12" s="37" t="s">
        <v>618</v>
      </c>
      <c r="B12" s="34" t="s">
        <v>78</v>
      </c>
      <c r="C12" s="36"/>
      <c r="D12" s="16" t="s">
        <v>619</v>
      </c>
      <c r="E12" s="168" t="s">
        <v>312</v>
      </c>
      <c r="F12" s="169"/>
      <c r="G12" s="17" t="s">
        <v>608</v>
      </c>
      <c r="H12" s="63" t="s">
        <v>620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"_new_id_leaguetype_value_label": "league_type",</v>
      </c>
      <c r="R12" s="14" t="str">
        <f t="shared" si="1"/>
        <v>"league_type": "string",</v>
      </c>
    </row>
    <row r="13" spans="1:18" ht="15.75" customHeight="1" outlineLevel="1">
      <c r="A13" s="37" t="s">
        <v>335</v>
      </c>
      <c r="B13" s="55" t="s">
        <v>111</v>
      </c>
      <c r="C13" s="36"/>
      <c r="D13" s="34" t="s">
        <v>336</v>
      </c>
      <c r="E13" s="168" t="s">
        <v>312</v>
      </c>
      <c r="F13" s="169"/>
      <c r="G13" s="17" t="s">
        <v>608</v>
      </c>
      <c r="H13" s="17" t="s">
        <v>337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"statecode": "is_inactive",</v>
      </c>
      <c r="R13" s="14" t="str">
        <f t="shared" si="1"/>
        <v>"is_inactive": "Int64",</v>
      </c>
    </row>
    <row r="14" spans="1:18" ht="15.75" customHeight="1" outlineLevel="1">
      <c r="A14" s="37" t="s">
        <v>338</v>
      </c>
      <c r="B14" s="55" t="s">
        <v>111</v>
      </c>
      <c r="C14" s="36"/>
      <c r="D14" s="34" t="s">
        <v>340</v>
      </c>
      <c r="E14" s="168" t="s">
        <v>312</v>
      </c>
      <c r="F14" s="169"/>
      <c r="G14" s="17" t="s">
        <v>608</v>
      </c>
      <c r="H14" s="22" t="s">
        <v>341</v>
      </c>
      <c r="I14" s="23"/>
      <c r="J14" s="41"/>
      <c r="K14" s="12"/>
      <c r="L14" s="12"/>
      <c r="M14" s="49"/>
      <c r="N14" s="240"/>
      <c r="O14" s="241"/>
      <c r="P14" s="13"/>
      <c r="Q14" s="14" t="str">
        <f t="shared" si="0"/>
        <v>"statuscode": "status_code",</v>
      </c>
      <c r="R14" s="14" t="str">
        <f t="shared" si="1"/>
        <v>"status_code": "Int64",</v>
      </c>
    </row>
    <row r="15" spans="1:18" ht="15.75" customHeight="1" outlineLevel="1">
      <c r="A15" s="37" t="s">
        <v>342</v>
      </c>
      <c r="B15" s="34" t="s">
        <v>239</v>
      </c>
      <c r="C15" s="36"/>
      <c r="D15" s="34" t="s">
        <v>343</v>
      </c>
      <c r="E15" s="168" t="s">
        <v>312</v>
      </c>
      <c r="F15" s="169"/>
      <c r="G15" s="17" t="s">
        <v>608</v>
      </c>
      <c r="H15" s="17" t="s">
        <v>344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"modifiedon": "modified_on_date",</v>
      </c>
      <c r="R15" s="14" t="str">
        <f t="shared" si="1"/>
        <v>"modified_on_date": "datetime",</v>
      </c>
    </row>
    <row r="16" spans="1:18" ht="15.75" customHeight="1" outlineLevel="1">
      <c r="A16" s="37"/>
      <c r="B16" s="34"/>
      <c r="C16" s="36"/>
      <c r="D16" s="34"/>
      <c r="E16" s="168" t="s">
        <v>312</v>
      </c>
      <c r="F16" s="169"/>
      <c r="G16" s="17"/>
      <c r="H16" s="22"/>
      <c r="I16" s="23"/>
      <c r="J16" s="41"/>
      <c r="K16" s="12"/>
      <c r="L16" s="12"/>
      <c r="M16" s="49"/>
      <c r="N16" s="240"/>
      <c r="O16" s="241"/>
      <c r="P16" s="13"/>
      <c r="Q16" s="14" t="str">
        <f t="shared" ref="Q16:Q19" si="2">CONCATENATE($Q$2,H16,$R$2,A16,$Q$2,",")</f>
        <v>"": "",</v>
      </c>
      <c r="R16" s="14" t="str">
        <f t="shared" ref="R16:R19" si="3">CONCATENATE($Q$2,A16,$R$2,B16,$Q$2,",")</f>
        <v>"": "",</v>
      </c>
    </row>
    <row r="17" spans="1:18" ht="15.75" customHeight="1" outlineLevel="1">
      <c r="A17" s="37"/>
      <c r="B17" s="34"/>
      <c r="C17" s="36"/>
      <c r="D17" s="16"/>
      <c r="E17" s="168" t="s">
        <v>312</v>
      </c>
      <c r="F17" s="169"/>
      <c r="G17" s="17"/>
      <c r="H17" s="22"/>
      <c r="I17" s="23"/>
      <c r="J17" s="41"/>
      <c r="K17" s="12"/>
      <c r="L17" s="12"/>
      <c r="M17" s="49"/>
      <c r="N17" s="240"/>
      <c r="O17" s="241"/>
      <c r="P17" s="13"/>
      <c r="Q17" s="14" t="str">
        <f t="shared" si="2"/>
        <v>"": "",</v>
      </c>
      <c r="R17" s="14" t="str">
        <f t="shared" si="3"/>
        <v>"": "",</v>
      </c>
    </row>
    <row r="18" spans="1:18" ht="15.75" customHeight="1" outlineLevel="1">
      <c r="A18" s="37"/>
      <c r="B18" s="34"/>
      <c r="C18" s="36"/>
      <c r="D18" s="34"/>
      <c r="E18" s="168"/>
      <c r="F18" s="169"/>
      <c r="G18" s="17"/>
      <c r="H18" s="22"/>
      <c r="I18" s="23"/>
      <c r="J18" s="41"/>
      <c r="K18" s="12"/>
      <c r="L18" s="12"/>
      <c r="M18" s="45"/>
      <c r="N18" s="240"/>
      <c r="O18" s="241"/>
      <c r="P18" s="13"/>
      <c r="Q18" s="14" t="str">
        <f t="shared" si="2"/>
        <v>"": "",</v>
      </c>
      <c r="R18" s="14" t="str">
        <f t="shared" si="3"/>
        <v>"": "",</v>
      </c>
    </row>
    <row r="19" spans="1:18" ht="15.75" customHeight="1" outlineLevel="1">
      <c r="A19" s="38" t="s">
        <v>64</v>
      </c>
      <c r="B19" s="39"/>
      <c r="C19" s="40"/>
      <c r="D19" s="9"/>
      <c r="E19" s="168"/>
      <c r="F19" s="169"/>
      <c r="G19" s="17"/>
      <c r="H19" s="25"/>
      <c r="I19" s="24"/>
      <c r="J19" s="51"/>
      <c r="K19" s="3"/>
      <c r="L19" s="3"/>
      <c r="M19" s="49"/>
      <c r="N19" s="242"/>
      <c r="O19" s="243"/>
      <c r="P19" s="4"/>
      <c r="Q19" s="14" t="str">
        <f t="shared" si="2"/>
        <v>"": "Leave Empty",</v>
      </c>
      <c r="R19" s="14" t="str">
        <f t="shared" si="3"/>
        <v>"Leave Empty": "",</v>
      </c>
    </row>
    <row r="20" spans="1:18" ht="15.75" customHeight="1">
      <c r="E20" s="170"/>
      <c r="F20" s="146"/>
      <c r="G20" s="171"/>
      <c r="H20" s="155"/>
      <c r="I20" s="26"/>
      <c r="N20" s="226"/>
      <c r="O20" s="226"/>
    </row>
    <row r="21" spans="1:18" ht="15.75" customHeight="1"/>
    <row r="22" spans="1:18" ht="15.75" customHeight="1"/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</sheetData>
  <autoFilter ref="A8:P19" xr:uid="{00000000-0009-0000-0000-000000000000}"/>
  <mergeCells count="48">
    <mergeCell ref="E20:F20"/>
    <mergeCell ref="G20:H20"/>
    <mergeCell ref="N20:O20"/>
    <mergeCell ref="E19:F19"/>
    <mergeCell ref="N19:O19"/>
    <mergeCell ref="R2:R5"/>
    <mergeCell ref="E17:F17"/>
    <mergeCell ref="N17:O17"/>
    <mergeCell ref="E18:F18"/>
    <mergeCell ref="N18:O18"/>
    <mergeCell ref="E15:F15"/>
    <mergeCell ref="N15:O15"/>
    <mergeCell ref="E16:F16"/>
    <mergeCell ref="N16:O16"/>
    <mergeCell ref="E13:F13"/>
    <mergeCell ref="N13:O13"/>
    <mergeCell ref="E14:F14"/>
    <mergeCell ref="N14:O14"/>
    <mergeCell ref="E11:F11"/>
    <mergeCell ref="N11:O11"/>
    <mergeCell ref="E12:F12"/>
    <mergeCell ref="N12:O12"/>
    <mergeCell ref="E9:F9"/>
    <mergeCell ref="N9:O9"/>
    <mergeCell ref="E10:F10"/>
    <mergeCell ref="N10:O10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C3:C5"/>
    <mergeCell ref="D3:D5"/>
    <mergeCell ref="F3:G3"/>
    <mergeCell ref="F4:G4"/>
    <mergeCell ref="F5:G5"/>
  </mergeCells>
  <conditionalFormatting sqref="A9:A19">
    <cfRule type="expression" dxfId="60" priority="1">
      <formula>M9 = "On Hold"</formula>
    </cfRule>
  </conditionalFormatting>
  <conditionalFormatting sqref="B2:B5 J9:P19">
    <cfRule type="cellIs" dxfId="59" priority="2" operator="equal">
      <formula>"Done"</formula>
    </cfRule>
    <cfRule type="cellIs" dxfId="58" priority="3" operator="equal">
      <formula>"On Hold"</formula>
    </cfRule>
    <cfRule type="cellIs" dxfId="57" priority="5" operator="equal">
      <formula>"Ready for Review"</formula>
    </cfRule>
    <cfRule type="cellIs" dxfId="56" priority="6" operator="equal">
      <formula>"In Review"</formula>
    </cfRule>
  </conditionalFormatting>
  <dataValidations count="7">
    <dataValidation type="list" allowBlank="1" showErrorMessage="1" sqref="B2" xr:uid="{B82E3073-771F-484E-BF19-568D25076C82}">
      <formula1>STT_Statuses</formula1>
    </dataValidation>
    <dataValidation type="list" allowBlank="1" sqref="B4:B5" xr:uid="{B5392FE6-041D-4B45-9781-BD18BE85032D}">
      <formula1>ETL_Statuses</formula1>
    </dataValidation>
    <dataValidation type="list" allowBlank="1" sqref="B3 M9:M19" xr:uid="{0A6DED5C-B85B-434C-B2AD-A681F095C10C}">
      <formula1>Statuses</formula1>
    </dataValidation>
    <dataValidation type="list" allowBlank="1" sqref="B15:B19 B9:B12" xr:uid="{06B66E7F-302F-4409-BF64-942677331A15}">
      <formula1>Data_Types</formula1>
    </dataValidation>
    <dataValidation type="list" allowBlank="1" sqref="N9:N19" xr:uid="{2188A189-F691-4038-92DF-9ED6343B6AF3}">
      <formula1>Categories</formula1>
    </dataValidation>
    <dataValidation type="list" allowBlank="1" sqref="P9:P19" xr:uid="{821F55C0-FF92-4594-807B-52B754B62DE2}">
      <formula1>Versions</formula1>
    </dataValidation>
    <dataValidation type="list" allowBlank="1" sqref="E9:E19" xr:uid="{EF6C8823-6D18-4736-A530-883281654602}">
      <formula1>Sources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4987-282B-4DFB-AFF2-D2704E45779B}">
  <sheetPr>
    <tabColor rgb="FF00B050"/>
    <outlinePr summaryBelow="0" summaryRight="0"/>
  </sheetPr>
  <dimension ref="A1:R152"/>
  <sheetViews>
    <sheetView zoomScale="80" zoomScaleNormal="80" workbookViewId="0">
      <pane xSplit="1" ySplit="8" topLeftCell="B9" activePane="bottomRight" state="frozen"/>
      <selection pane="bottomRight" activeCell="E18" sqref="E18:F18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621</v>
      </c>
      <c r="E3" s="148"/>
      <c r="F3" s="150"/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 t="s">
        <v>622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>
      <c r="A9" s="37" t="s">
        <v>623</v>
      </c>
      <c r="B9" s="34" t="s">
        <v>78</v>
      </c>
      <c r="C9" s="34" t="e" vm="1">
        <v>#VALUE!</v>
      </c>
      <c r="D9" s="35" t="s">
        <v>624</v>
      </c>
      <c r="E9" s="168" t="s">
        <v>312</v>
      </c>
      <c r="F9" s="169"/>
      <c r="G9" s="17" t="s">
        <v>622</v>
      </c>
      <c r="H9" s="22" t="s">
        <v>625</v>
      </c>
      <c r="I9" s="23"/>
      <c r="J9" s="50"/>
      <c r="K9" s="12"/>
      <c r="L9" s="12"/>
      <c r="M9" s="52"/>
      <c r="N9" s="42"/>
      <c r="O9" s="50"/>
      <c r="P9" s="13"/>
      <c r="Q9" s="14" t="str">
        <f>CONCATENATE($Q$2,H9,$R$2,A9,$Q$2,",")</f>
        <v>"new_societyunionid": "society_union_code",</v>
      </c>
      <c r="R9" s="14" t="str">
        <f>CONCATENATE($Q$2,A9,$R$2,B9,$Q$2,",")</f>
        <v>"society_union_code": "string",</v>
      </c>
    </row>
    <row r="10" spans="1:18" ht="15.75" customHeight="1" outlineLevel="1">
      <c r="A10" s="37" t="s">
        <v>349</v>
      </c>
      <c r="B10" s="34" t="s">
        <v>78</v>
      </c>
      <c r="C10" s="36"/>
      <c r="D10" s="34" t="s">
        <v>626</v>
      </c>
      <c r="E10" s="168" t="s">
        <v>312</v>
      </c>
      <c r="F10" s="169"/>
      <c r="G10" s="17" t="s">
        <v>622</v>
      </c>
      <c r="H10" s="17" t="s">
        <v>627</v>
      </c>
      <c r="I10" s="23"/>
      <c r="J10" s="41"/>
      <c r="K10" s="12"/>
      <c r="L10" s="12"/>
      <c r="M10" s="49"/>
      <c r="N10" s="240" t="s">
        <v>82</v>
      </c>
      <c r="O10" s="241"/>
      <c r="P10" s="13" t="s">
        <v>83</v>
      </c>
      <c r="Q10" s="14" t="str">
        <f t="shared" ref="Q10:Q23" si="0">CONCATENATE($Q$2,H10,$R$2,A10,$Q$2,",")</f>
        <v>"_new_id_society_value": "society_code",</v>
      </c>
      <c r="R10" s="14" t="str">
        <f t="shared" ref="R10:R24" si="1">CONCATENATE($Q$2,A10,$R$2,B10,$Q$2,",")</f>
        <v>"society_code": "string",</v>
      </c>
    </row>
    <row r="11" spans="1:18" ht="15.75" customHeight="1" outlineLevel="1">
      <c r="A11" s="37" t="s">
        <v>56</v>
      </c>
      <c r="B11" s="34" t="s">
        <v>111</v>
      </c>
      <c r="C11" s="36"/>
      <c r="D11" s="16" t="s">
        <v>628</v>
      </c>
      <c r="E11" s="168" t="s">
        <v>312</v>
      </c>
      <c r="F11" s="169"/>
      <c r="G11" s="17" t="s">
        <v>622</v>
      </c>
      <c r="H11" s="22" t="s">
        <v>348</v>
      </c>
      <c r="I11" s="17"/>
      <c r="J11" s="41"/>
      <c r="K11" s="12"/>
      <c r="L11" s="12"/>
      <c r="M11" s="49"/>
      <c r="N11" s="240"/>
      <c r="O11" s="241"/>
      <c r="P11" s="13"/>
      <c r="Q11" s="14" t="str">
        <f t="shared" si="0"/>
        <v>"new_t_societynumber": "society_id",</v>
      </c>
      <c r="R11" s="14" t="str">
        <f t="shared" si="1"/>
        <v>"society_id": "Int64",</v>
      </c>
    </row>
    <row r="12" spans="1:18" ht="15.75" customHeight="1" outlineLevel="1">
      <c r="A12" s="37" t="s">
        <v>449</v>
      </c>
      <c r="B12" s="34" t="s">
        <v>78</v>
      </c>
      <c r="C12" s="36"/>
      <c r="D12" s="34" t="s">
        <v>629</v>
      </c>
      <c r="E12" s="168" t="s">
        <v>312</v>
      </c>
      <c r="F12" s="169"/>
      <c r="G12" s="17" t="s">
        <v>622</v>
      </c>
      <c r="H12" s="17" t="s">
        <v>451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"_new_id_supportrequest_value": "support_request_code",</v>
      </c>
      <c r="R12" s="14" t="str">
        <f t="shared" si="1"/>
        <v>"support_request_code": "string",</v>
      </c>
    </row>
    <row r="13" spans="1:18" ht="15.75" customHeight="1" outlineLevel="1">
      <c r="A13" s="37" t="s">
        <v>352</v>
      </c>
      <c r="B13" s="34" t="s">
        <v>78</v>
      </c>
      <c r="C13" s="36"/>
      <c r="D13" s="34" t="s">
        <v>353</v>
      </c>
      <c r="E13" s="168" t="s">
        <v>312</v>
      </c>
      <c r="F13" s="169"/>
      <c r="G13" s="17" t="s">
        <v>622</v>
      </c>
      <c r="H13" s="17" t="s">
        <v>630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"new_t_associationname": "society_name",</v>
      </c>
      <c r="R13" s="14" t="str">
        <f t="shared" si="1"/>
        <v>"society_name": "string",</v>
      </c>
    </row>
    <row r="14" spans="1:18" ht="15.75" customHeight="1" outlineLevel="1">
      <c r="A14" s="37" t="s">
        <v>355</v>
      </c>
      <c r="B14" s="34" t="s">
        <v>78</v>
      </c>
      <c r="C14" s="36"/>
      <c r="D14" s="34" t="s">
        <v>631</v>
      </c>
      <c r="E14" s="168" t="s">
        <v>312</v>
      </c>
      <c r="F14" s="169"/>
      <c r="G14" s="17" t="s">
        <v>622</v>
      </c>
      <c r="H14" s="17" t="s">
        <v>357</v>
      </c>
      <c r="I14" s="23"/>
      <c r="J14" s="41"/>
      <c r="K14" s="12"/>
      <c r="L14" s="12"/>
      <c r="M14" s="49"/>
      <c r="N14" s="240"/>
      <c r="O14" s="241"/>
      <c r="P14" s="13"/>
      <c r="Q14" s="14" t="str">
        <f t="shared" si="0"/>
        <v>"_new_id_localauthority_value": "authority_code",</v>
      </c>
      <c r="R14" s="14" t="str">
        <f t="shared" si="1"/>
        <v>"authority_code": "string",</v>
      </c>
    </row>
    <row r="15" spans="1:18" ht="15.75" customHeight="1" outlineLevel="1">
      <c r="A15" s="37" t="s">
        <v>87</v>
      </c>
      <c r="B15" s="34" t="s">
        <v>78</v>
      </c>
      <c r="C15" s="36"/>
      <c r="D15" s="16" t="s">
        <v>89</v>
      </c>
      <c r="E15" s="168" t="s">
        <v>312</v>
      </c>
      <c r="F15" s="169"/>
      <c r="G15" s="17" t="s">
        <v>622</v>
      </c>
      <c r="H15" s="17" t="s">
        <v>359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"_new_id_localauthority_value_label": "authority_name",</v>
      </c>
      <c r="R15" s="14" t="str">
        <f t="shared" si="1"/>
        <v>"authority_name": "string",</v>
      </c>
    </row>
    <row r="16" spans="1:18" ht="15.75" customHeight="1" outlineLevel="1">
      <c r="A16" s="37" t="s">
        <v>632</v>
      </c>
      <c r="B16" s="34" t="s">
        <v>78</v>
      </c>
      <c r="C16" s="36"/>
      <c r="D16" s="16" t="s">
        <v>633</v>
      </c>
      <c r="E16" s="168" t="s">
        <v>312</v>
      </c>
      <c r="F16" s="169"/>
      <c r="G16" s="17" t="s">
        <v>622</v>
      </c>
      <c r="H16" s="17" t="s">
        <v>634</v>
      </c>
      <c r="I16" s="23"/>
      <c r="J16" s="41"/>
      <c r="K16" s="12"/>
      <c r="L16" s="12"/>
      <c r="M16" s="49"/>
      <c r="N16" s="240"/>
      <c r="O16" s="241"/>
      <c r="P16" s="13"/>
      <c r="Q16" s="14" t="str">
        <f t="shared" si="0"/>
        <v>"new_pl_passadminthresholdcondition_label": "is_pass_admin_condition",</v>
      </c>
      <c r="R16" s="14" t="str">
        <f t="shared" si="1"/>
        <v>"is_pass_admin_condition": "string",</v>
      </c>
    </row>
    <row r="17" spans="1:18" ht="15.75" customHeight="1" outlineLevel="1">
      <c r="A17" s="37" t="s">
        <v>635</v>
      </c>
      <c r="B17" s="34" t="s">
        <v>78</v>
      </c>
      <c r="C17" s="36"/>
      <c r="D17" s="34" t="s">
        <v>636</v>
      </c>
      <c r="E17" s="168" t="s">
        <v>312</v>
      </c>
      <c r="F17" s="169"/>
      <c r="G17" s="17" t="s">
        <v>622</v>
      </c>
      <c r="H17" s="22" t="s">
        <v>637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"new_pl_passprofessionalthresholdcondition_label": "is_pass_professional_condition",</v>
      </c>
      <c r="R17" s="14" t="str">
        <f t="shared" si="1"/>
        <v>"is_pass_professional_condition": "string",</v>
      </c>
    </row>
    <row r="18" spans="1:18" ht="15.75" customHeight="1" outlineLevel="1">
      <c r="A18" s="37" t="s">
        <v>638</v>
      </c>
      <c r="B18" s="34" t="s">
        <v>78</v>
      </c>
      <c r="C18" s="36"/>
      <c r="D18" s="16" t="s">
        <v>639</v>
      </c>
      <c r="E18" s="168" t="s">
        <v>312</v>
      </c>
      <c r="F18" s="169"/>
      <c r="G18" s="17" t="s">
        <v>622</v>
      </c>
      <c r="H18" s="22" t="s">
        <v>640</v>
      </c>
      <c r="I18" s="23"/>
      <c r="J18" s="41"/>
      <c r="K18" s="12"/>
      <c r="L18" s="12"/>
      <c r="M18" s="49"/>
      <c r="N18" s="240"/>
      <c r="O18" s="241"/>
      <c r="P18" s="13"/>
      <c r="Q18" s="14" t="str">
        <f t="shared" si="0"/>
        <v>"new_pl_passthresholdcondition_label": "is_pass_threshold_condition",</v>
      </c>
      <c r="R18" s="14" t="str">
        <f t="shared" si="1"/>
        <v>"is_pass_threshold_condition": "string",</v>
      </c>
    </row>
    <row r="19" spans="1:18" ht="15.75" customHeight="1" outlineLevel="1">
      <c r="A19" s="37" t="s">
        <v>335</v>
      </c>
      <c r="B19" s="55" t="s">
        <v>111</v>
      </c>
      <c r="C19" s="36"/>
      <c r="D19" s="34" t="s">
        <v>336</v>
      </c>
      <c r="E19" s="168" t="s">
        <v>312</v>
      </c>
      <c r="F19" s="169"/>
      <c r="G19" s="17" t="s">
        <v>622</v>
      </c>
      <c r="H19" s="17" t="s">
        <v>337</v>
      </c>
      <c r="I19" s="23"/>
      <c r="J19" s="41"/>
      <c r="K19" s="12"/>
      <c r="L19" s="12"/>
      <c r="M19" s="49"/>
      <c r="N19" s="240"/>
      <c r="O19" s="241"/>
      <c r="P19" s="13"/>
      <c r="Q19" s="14" t="str">
        <f t="shared" si="0"/>
        <v>"statecode": "is_inactive",</v>
      </c>
      <c r="R19" s="14" t="str">
        <f t="shared" si="1"/>
        <v>"is_inactive": "Int64",</v>
      </c>
    </row>
    <row r="20" spans="1:18" ht="15.75" customHeight="1" outlineLevel="1">
      <c r="A20" s="37" t="s">
        <v>338</v>
      </c>
      <c r="B20" s="55" t="s">
        <v>111</v>
      </c>
      <c r="C20" s="36"/>
      <c r="D20" s="34" t="s">
        <v>340</v>
      </c>
      <c r="E20" s="168" t="s">
        <v>312</v>
      </c>
      <c r="F20" s="169"/>
      <c r="G20" s="17" t="s">
        <v>622</v>
      </c>
      <c r="H20" s="22" t="s">
        <v>341</v>
      </c>
      <c r="I20" s="23"/>
      <c r="J20" s="41"/>
      <c r="K20" s="12"/>
      <c r="L20" s="12"/>
      <c r="M20" s="49"/>
      <c r="N20" s="240"/>
      <c r="O20" s="241"/>
      <c r="P20" s="13"/>
      <c r="Q20" s="14" t="str">
        <f t="shared" si="0"/>
        <v>"statuscode": "status_code",</v>
      </c>
      <c r="R20" s="14" t="str">
        <f t="shared" si="1"/>
        <v>"status_code": "Int64",</v>
      </c>
    </row>
    <row r="21" spans="1:18" ht="15.75" customHeight="1" outlineLevel="1">
      <c r="A21" s="37" t="s">
        <v>342</v>
      </c>
      <c r="B21" s="34" t="s">
        <v>239</v>
      </c>
      <c r="C21" s="36"/>
      <c r="D21" s="34" t="s">
        <v>343</v>
      </c>
      <c r="E21" s="168" t="s">
        <v>312</v>
      </c>
      <c r="F21" s="169"/>
      <c r="G21" s="17" t="s">
        <v>622</v>
      </c>
      <c r="H21" s="17" t="s">
        <v>344</v>
      </c>
      <c r="I21" s="23"/>
      <c r="J21" s="41"/>
      <c r="K21" s="12"/>
      <c r="L21" s="12"/>
      <c r="M21" s="49"/>
      <c r="N21" s="42"/>
      <c r="O21" s="43"/>
      <c r="P21" s="13"/>
      <c r="Q21" s="14" t="str">
        <f t="shared" si="0"/>
        <v>"modifiedon": "modified_on_date",</v>
      </c>
      <c r="R21" s="14" t="str">
        <f t="shared" si="1"/>
        <v>"modified_on_date": "datetime",</v>
      </c>
    </row>
    <row r="22" spans="1:18" ht="15.75" customHeight="1" outlineLevel="1">
      <c r="A22" s="37"/>
      <c r="B22" s="34"/>
      <c r="C22" s="36"/>
      <c r="D22" s="16"/>
      <c r="E22" s="46"/>
      <c r="F22" s="47"/>
      <c r="G22" s="17"/>
      <c r="H22" s="22"/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"": "",</v>
      </c>
      <c r="R22" s="14" t="str">
        <f t="shared" si="1"/>
        <v>"": "",</v>
      </c>
    </row>
    <row r="23" spans="1:18" ht="15.75" customHeight="1" outlineLevel="1">
      <c r="A23" s="37"/>
      <c r="B23" s="34"/>
      <c r="C23" s="36"/>
      <c r="D23" s="34"/>
      <c r="E23" s="168"/>
      <c r="F23" s="169"/>
      <c r="G23" s="17"/>
      <c r="H23" s="22"/>
      <c r="I23" s="23"/>
      <c r="J23" s="41"/>
      <c r="K23" s="12"/>
      <c r="L23" s="12"/>
      <c r="M23" s="45"/>
      <c r="N23" s="240"/>
      <c r="O23" s="241"/>
      <c r="P23" s="13"/>
      <c r="Q23" s="14" t="str">
        <f t="shared" si="0"/>
        <v>"": "",</v>
      </c>
      <c r="R23" s="14" t="str">
        <f t="shared" si="1"/>
        <v>"": "",</v>
      </c>
    </row>
    <row r="24" spans="1:18" ht="15.75" customHeight="1" outlineLevel="1">
      <c r="A24" s="38" t="s">
        <v>64</v>
      </c>
      <c r="B24" s="39"/>
      <c r="C24" s="40"/>
      <c r="D24" s="9"/>
      <c r="E24" s="168"/>
      <c r="F24" s="169"/>
      <c r="G24" s="17"/>
      <c r="H24" s="25"/>
      <c r="I24" s="24"/>
      <c r="J24" s="51"/>
      <c r="K24" s="3"/>
      <c r="L24" s="3"/>
      <c r="M24" s="49"/>
      <c r="N24" s="242"/>
      <c r="O24" s="243"/>
      <c r="P24" s="4"/>
      <c r="Q24" s="14" t="str">
        <f t="shared" ref="Q24" si="2">CONCATENATE($Q$2,H24,$R$2,A24,$Q$2,",")</f>
        <v>"": "Leave Empty",</v>
      </c>
      <c r="R24" s="14" t="str">
        <f t="shared" si="1"/>
        <v>"Leave Empty": "",</v>
      </c>
    </row>
    <row r="25" spans="1:18" ht="15.75" customHeight="1">
      <c r="E25" s="170"/>
      <c r="F25" s="146"/>
      <c r="G25" s="171"/>
      <c r="H25" s="155"/>
      <c r="I25" s="26"/>
      <c r="N25" s="226"/>
      <c r="O25" s="226"/>
    </row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</sheetData>
  <autoFilter ref="A8:P24" xr:uid="{00000000-0009-0000-0000-000000000000}"/>
  <mergeCells count="54">
    <mergeCell ref="R2:R5"/>
    <mergeCell ref="E18:F18"/>
    <mergeCell ref="N18:O18"/>
    <mergeCell ref="E19:F19"/>
    <mergeCell ref="N19:O19"/>
    <mergeCell ref="E16:F16"/>
    <mergeCell ref="N16:O16"/>
    <mergeCell ref="E17:F17"/>
    <mergeCell ref="N17:O17"/>
    <mergeCell ref="E14:F14"/>
    <mergeCell ref="N14:O14"/>
    <mergeCell ref="E15:F15"/>
    <mergeCell ref="E9:F9"/>
    <mergeCell ref="E10:F10"/>
    <mergeCell ref="N10:O10"/>
    <mergeCell ref="E11:F11"/>
    <mergeCell ref="E24:F24"/>
    <mergeCell ref="N24:O24"/>
    <mergeCell ref="E25:F25"/>
    <mergeCell ref="G25:H25"/>
    <mergeCell ref="N25:O25"/>
    <mergeCell ref="E23:F23"/>
    <mergeCell ref="N23:O23"/>
    <mergeCell ref="E12:F12"/>
    <mergeCell ref="N12:O12"/>
    <mergeCell ref="E13:F13"/>
    <mergeCell ref="N13:O13"/>
    <mergeCell ref="N15:O15"/>
    <mergeCell ref="E21:F21"/>
    <mergeCell ref="E20:F20"/>
    <mergeCell ref="N20:O20"/>
    <mergeCell ref="N11:O11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B7:D7"/>
    <mergeCell ref="E7:I7"/>
    <mergeCell ref="J7:L7"/>
    <mergeCell ref="N7:P7"/>
    <mergeCell ref="E8:F8"/>
    <mergeCell ref="N8:O8"/>
    <mergeCell ref="Q2:Q5"/>
    <mergeCell ref="C3:C5"/>
    <mergeCell ref="D3:D5"/>
    <mergeCell ref="F3:G3"/>
    <mergeCell ref="F4:G4"/>
    <mergeCell ref="F5:G5"/>
  </mergeCells>
  <conditionalFormatting sqref="A10">
    <cfRule type="expression" dxfId="55" priority="5">
      <formula>M10 = "On Hold"</formula>
    </cfRule>
  </conditionalFormatting>
  <conditionalFormatting sqref="A11">
    <cfRule type="expression" dxfId="54" priority="2">
      <formula>J11 = "On Hold"</formula>
    </cfRule>
  </conditionalFormatting>
  <conditionalFormatting sqref="A12:A24">
    <cfRule type="expression" dxfId="53" priority="1">
      <formula>M12 = "On Hold"</formula>
    </cfRule>
  </conditionalFormatting>
  <conditionalFormatting sqref="B2:B5 J10:P24">
    <cfRule type="cellIs" dxfId="52" priority="3" operator="equal">
      <formula>"Done"</formula>
    </cfRule>
    <cfRule type="cellIs" dxfId="51" priority="4" operator="equal">
      <formula>"On Hold"</formula>
    </cfRule>
    <cfRule type="cellIs" dxfId="50" priority="6" operator="equal">
      <formula>"Ready for Review"</formula>
    </cfRule>
    <cfRule type="cellIs" dxfId="49" priority="7" operator="equal">
      <formula>"In Review"</formula>
    </cfRule>
  </conditionalFormatting>
  <dataValidations count="7">
    <dataValidation type="list" allowBlank="1" sqref="B3 M10:M24" xr:uid="{DC972A0C-CD9C-4546-A387-4AA100303CEA}">
      <formula1>Statuses</formula1>
    </dataValidation>
    <dataValidation type="list" allowBlank="1" sqref="B4:B5" xr:uid="{D31F0534-C597-4D9E-BD4F-F70D190F6D87}">
      <formula1>ETL_Statuses</formula1>
    </dataValidation>
    <dataValidation type="list" allowBlank="1" showErrorMessage="1" sqref="B2" xr:uid="{B5E14909-849D-4823-A4CC-3B608936D794}">
      <formula1>STT_Statuses</formula1>
    </dataValidation>
    <dataValidation type="list" allowBlank="1" sqref="B9:B18 B21:B24" xr:uid="{740242DE-9494-4E47-8C04-27424545829E}">
      <formula1>Data_Types</formula1>
    </dataValidation>
    <dataValidation type="list" allowBlank="1" sqref="E9:E24" xr:uid="{4E89AC64-AEC3-4F34-9F0A-C10FAB40199E}">
      <formula1>Sources</formula1>
    </dataValidation>
    <dataValidation type="list" allowBlank="1" sqref="P10:P24" xr:uid="{8EAB309E-F823-4EBE-B9F2-1F7DEE45C957}">
      <formula1>Versions</formula1>
    </dataValidation>
    <dataValidation type="list" allowBlank="1" sqref="N10:N24" xr:uid="{94429319-D564-4384-BA93-60E031C60C96}">
      <formula1>Categories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8ADF-8B1B-417A-98E6-9662AD96FBD9}">
  <sheetPr>
    <tabColor rgb="FF00B050"/>
    <outlinePr summaryBelow="0" summaryRight="0"/>
  </sheetPr>
  <dimension ref="A1:R153"/>
  <sheetViews>
    <sheetView zoomScaleNormal="100" workbookViewId="0">
      <pane xSplit="1" ySplit="8" topLeftCell="B9" activePane="bottomRight" state="frozen"/>
      <selection pane="bottomRight" activeCell="C9" sqref="C9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6.570312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641</v>
      </c>
      <c r="E3" s="148"/>
      <c r="F3" s="150" t="s">
        <v>642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 t="s">
        <v>641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643</v>
      </c>
      <c r="B9" s="34" t="s">
        <v>78</v>
      </c>
      <c r="C9" s="36" t="e" vm="1">
        <v>#VALUE!</v>
      </c>
      <c r="D9" s="34" t="s">
        <v>644</v>
      </c>
      <c r="E9" s="168" t="s">
        <v>312</v>
      </c>
      <c r="F9" s="169"/>
      <c r="G9" s="17" t="s">
        <v>641</v>
      </c>
      <c r="H9" s="17" t="s">
        <v>645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"new_europehampionshipforteamid": "europe_champion_team_code",</v>
      </c>
      <c r="R9" s="14" t="str">
        <f>CONCATENATE($Q$2,A9,$R$2,B9,$Q$2,",")</f>
        <v>"europe_champion_team_code": "string",</v>
      </c>
    </row>
    <row r="10" spans="1:18" ht="15.75" customHeight="1" outlineLevel="1">
      <c r="A10" s="37" t="s">
        <v>449</v>
      </c>
      <c r="B10" s="34" t="s">
        <v>78</v>
      </c>
      <c r="C10" s="36"/>
      <c r="D10" s="34" t="s">
        <v>629</v>
      </c>
      <c r="E10" s="168" t="s">
        <v>312</v>
      </c>
      <c r="F10" s="169"/>
      <c r="G10" s="17" t="s">
        <v>641</v>
      </c>
      <c r="H10" s="17" t="s">
        <v>451</v>
      </c>
      <c r="I10" s="23"/>
      <c r="J10" s="41"/>
      <c r="K10" s="12"/>
      <c r="L10" s="12"/>
      <c r="M10" s="49"/>
      <c r="N10" s="240"/>
      <c r="O10" s="241"/>
      <c r="P10" s="13"/>
      <c r="Q10" s="14" t="str">
        <f t="shared" ref="Q10:Q22" si="0">CONCATENATE($Q$2,H10,$R$2,A10,$Q$2,",")</f>
        <v>"_new_id_supportrequest_value": "support_request_code",</v>
      </c>
      <c r="R10" s="14" t="str">
        <f t="shared" ref="R10:R22" si="1">CONCATENATE($Q$2,A10,$R$2,B10,$Q$2,",")</f>
        <v>"support_request_code": "string",</v>
      </c>
    </row>
    <row r="11" spans="1:18" ht="15.75" customHeight="1" outlineLevel="1">
      <c r="A11" s="37" t="s">
        <v>646</v>
      </c>
      <c r="B11" s="34" t="s">
        <v>217</v>
      </c>
      <c r="C11" s="36"/>
      <c r="D11" s="34" t="s">
        <v>647</v>
      </c>
      <c r="E11" s="168" t="s">
        <v>312</v>
      </c>
      <c r="F11" s="169"/>
      <c r="G11" s="17" t="s">
        <v>641</v>
      </c>
      <c r="H11" s="17" t="s">
        <v>648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"new_i_europeanchampionshipscoresforteams": "europe_champion_score",</v>
      </c>
      <c r="R11" s="14" t="str">
        <f t="shared" si="1"/>
        <v>"europe_champion_score": "float64",</v>
      </c>
    </row>
    <row r="12" spans="1:18" ht="15.75" customHeight="1" outlineLevel="1">
      <c r="A12" s="37" t="s">
        <v>649</v>
      </c>
      <c r="B12" s="34" t="s">
        <v>78</v>
      </c>
      <c r="C12" s="36"/>
      <c r="D12" s="34" t="s">
        <v>650</v>
      </c>
      <c r="E12" s="168" t="s">
        <v>312</v>
      </c>
      <c r="F12" s="169"/>
      <c r="G12" s="17" t="s">
        <v>641</v>
      </c>
      <c r="H12" s="17" t="s">
        <v>651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"_new_id_teamname_value": "team_code",</v>
      </c>
      <c r="R12" s="14" t="str">
        <f t="shared" si="1"/>
        <v>"team_code": "string",</v>
      </c>
    </row>
    <row r="13" spans="1:18" ht="15.75" customHeight="1" outlineLevel="1">
      <c r="A13" s="37" t="s">
        <v>400</v>
      </c>
      <c r="B13" s="34" t="s">
        <v>78</v>
      </c>
      <c r="C13" s="36"/>
      <c r="D13" s="16" t="s">
        <v>652</v>
      </c>
      <c r="E13" s="168" t="s">
        <v>312</v>
      </c>
      <c r="F13" s="169"/>
      <c r="G13" s="17" t="s">
        <v>641</v>
      </c>
      <c r="H13" s="17" t="s">
        <v>653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"_new_id_ag_europehampionshipforteam_value": "age_group_code",</v>
      </c>
      <c r="R13" s="14" t="str">
        <f t="shared" si="1"/>
        <v>"age_group_code": "string",</v>
      </c>
    </row>
    <row r="14" spans="1:18" ht="15.75" customHeight="1" outlineLevel="1">
      <c r="A14" s="37" t="s">
        <v>349</v>
      </c>
      <c r="B14" s="34" t="s">
        <v>78</v>
      </c>
      <c r="C14" s="36"/>
      <c r="D14" s="16" t="s">
        <v>654</v>
      </c>
      <c r="E14" s="168" t="s">
        <v>312</v>
      </c>
      <c r="F14" s="169"/>
      <c r="G14" s="17" t="s">
        <v>641</v>
      </c>
      <c r="H14" s="17" t="s">
        <v>455</v>
      </c>
      <c r="I14" s="23"/>
      <c r="J14" s="41"/>
      <c r="K14" s="12"/>
      <c r="L14" s="12"/>
      <c r="M14" s="49"/>
      <c r="N14" s="42"/>
      <c r="O14" s="43"/>
      <c r="P14" s="13"/>
      <c r="Q14" s="14" t="str">
        <f t="shared" si="0"/>
        <v>"_new_id_association_value": "society_code",</v>
      </c>
      <c r="R14" s="14" t="str">
        <f t="shared" si="1"/>
        <v>"society_code": "string",</v>
      </c>
    </row>
    <row r="15" spans="1:18" ht="15.75" customHeight="1" outlineLevel="1">
      <c r="A15" s="37" t="s">
        <v>56</v>
      </c>
      <c r="B15" s="34" t="s">
        <v>111</v>
      </c>
      <c r="C15" s="36"/>
      <c r="D15" s="16" t="s">
        <v>462</v>
      </c>
      <c r="E15" s="168" t="s">
        <v>312</v>
      </c>
      <c r="F15" s="169"/>
      <c r="G15" s="17" t="s">
        <v>641</v>
      </c>
      <c r="H15" s="17" t="s">
        <v>348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"new_t_societynumber": "society_id",</v>
      </c>
      <c r="R15" s="14" t="str">
        <f t="shared" si="1"/>
        <v>"society_id": "Int64",</v>
      </c>
    </row>
    <row r="16" spans="1:18" ht="15.75" customHeight="1" outlineLevel="1">
      <c r="A16" s="37" t="s">
        <v>655</v>
      </c>
      <c r="B16" s="34" t="s">
        <v>78</v>
      </c>
      <c r="C16" s="36"/>
      <c r="D16" s="34" t="s">
        <v>656</v>
      </c>
      <c r="E16" s="168" t="s">
        <v>312</v>
      </c>
      <c r="F16" s="169"/>
      <c r="G16" s="17" t="s">
        <v>641</v>
      </c>
      <c r="H16" s="22" t="s">
        <v>657</v>
      </c>
      <c r="I16" s="23"/>
      <c r="J16" s="41"/>
      <c r="K16" s="12"/>
      <c r="L16" s="12"/>
      <c r="M16" s="49"/>
      <c r="N16" s="240"/>
      <c r="O16" s="241"/>
      <c r="P16" s="13"/>
      <c r="Q16" s="14" t="str">
        <f t="shared" si="0"/>
        <v>"new_t_championshipname": "europe_champion_name",</v>
      </c>
      <c r="R16" s="14" t="str">
        <f t="shared" si="1"/>
        <v>"europe_champion_name": "string",</v>
      </c>
    </row>
    <row r="17" spans="1:18" ht="15.75" customHeight="1" outlineLevel="1">
      <c r="A17" s="37" t="s">
        <v>658</v>
      </c>
      <c r="B17" s="34" t="s">
        <v>78</v>
      </c>
      <c r="C17" s="36"/>
      <c r="D17" s="16" t="s">
        <v>659</v>
      </c>
      <c r="E17" s="168" t="s">
        <v>312</v>
      </c>
      <c r="F17" s="169"/>
      <c r="G17" s="17" t="s">
        <v>641</v>
      </c>
      <c r="H17" s="22" t="s">
        <v>660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"_new_id_teamname_value_label": "europe_champion_team_name_num",</v>
      </c>
      <c r="R17" s="14" t="str">
        <f t="shared" si="1"/>
        <v>"europe_champion_team_name_num": "string",</v>
      </c>
    </row>
    <row r="18" spans="1:18" ht="15.75" customHeight="1" outlineLevel="1">
      <c r="A18" s="37" t="s">
        <v>661</v>
      </c>
      <c r="B18" s="34" t="s">
        <v>530</v>
      </c>
      <c r="C18" s="36"/>
      <c r="D18" s="34" t="s">
        <v>662</v>
      </c>
      <c r="E18" s="168" t="s">
        <v>312</v>
      </c>
      <c r="F18" s="169"/>
      <c r="G18" s="17" t="s">
        <v>641</v>
      </c>
      <c r="H18" s="22" t="s">
        <v>663</v>
      </c>
      <c r="I18" s="23"/>
      <c r="J18" s="41"/>
      <c r="K18" s="12"/>
      <c r="L18" s="12"/>
      <c r="M18" s="49"/>
      <c r="N18" s="240"/>
      <c r="O18" s="241"/>
      <c r="P18" s="13"/>
      <c r="Q18" s="14" t="str">
        <f t="shared" si="0"/>
        <v>"new_d_competitionenddate": "europe_competition_date",</v>
      </c>
      <c r="R18" s="14" t="str">
        <f t="shared" si="1"/>
        <v>"europe_competition_date": "date",</v>
      </c>
    </row>
    <row r="19" spans="1:18" ht="15.75" customHeight="1" outlineLevel="1">
      <c r="A19" s="37" t="s">
        <v>664</v>
      </c>
      <c r="B19" s="34" t="s">
        <v>78</v>
      </c>
      <c r="C19" s="36"/>
      <c r="D19" s="16" t="s">
        <v>404</v>
      </c>
      <c r="E19" s="168" t="s">
        <v>312</v>
      </c>
      <c r="F19" s="169"/>
      <c r="G19" s="17" t="s">
        <v>641</v>
      </c>
      <c r="H19" s="22" t="s">
        <v>448</v>
      </c>
      <c r="I19" s="23"/>
      <c r="J19" s="41"/>
      <c r="K19" s="12"/>
      <c r="L19" s="12"/>
      <c r="M19" s="49"/>
      <c r="N19" s="240"/>
      <c r="O19" s="241"/>
      <c r="P19" s="13"/>
      <c r="Q19" s="14" t="str">
        <f t="shared" si="0"/>
        <v>"new_pl_sex_label": "europe_champion_gender",</v>
      </c>
      <c r="R19" s="14" t="str">
        <f t="shared" si="1"/>
        <v>"europe_champion_gender": "string",</v>
      </c>
    </row>
    <row r="20" spans="1:18" ht="15.75" customHeight="1" outlineLevel="1">
      <c r="A20" s="37" t="s">
        <v>335</v>
      </c>
      <c r="B20" s="55" t="s">
        <v>111</v>
      </c>
      <c r="C20" s="36"/>
      <c r="D20" s="34" t="s">
        <v>336</v>
      </c>
      <c r="E20" s="168" t="s">
        <v>312</v>
      </c>
      <c r="F20" s="169"/>
      <c r="G20" s="17" t="s">
        <v>641</v>
      </c>
      <c r="H20" s="17" t="s">
        <v>337</v>
      </c>
      <c r="I20" s="23"/>
      <c r="J20" s="41"/>
      <c r="K20" s="12"/>
      <c r="L20" s="12"/>
      <c r="M20" s="49"/>
      <c r="N20" s="42"/>
      <c r="O20" s="43"/>
      <c r="P20" s="13"/>
      <c r="Q20" s="14" t="str">
        <f t="shared" si="0"/>
        <v>"statecode": "is_inactive",</v>
      </c>
      <c r="R20" s="14" t="str">
        <f t="shared" si="1"/>
        <v>"is_inactive": "Int64",</v>
      </c>
    </row>
    <row r="21" spans="1:18" ht="15.75" customHeight="1" outlineLevel="1">
      <c r="A21" s="37" t="s">
        <v>338</v>
      </c>
      <c r="B21" s="55" t="s">
        <v>111</v>
      </c>
      <c r="C21" s="36"/>
      <c r="D21" s="34" t="s">
        <v>340</v>
      </c>
      <c r="E21" s="168" t="s">
        <v>312</v>
      </c>
      <c r="F21" s="169"/>
      <c r="G21" s="17" t="s">
        <v>641</v>
      </c>
      <c r="H21" s="22" t="s">
        <v>341</v>
      </c>
      <c r="I21" s="23"/>
      <c r="J21" s="41"/>
      <c r="K21" s="12"/>
      <c r="L21" s="12"/>
      <c r="M21" s="49"/>
      <c r="N21" s="42"/>
      <c r="O21" s="43"/>
      <c r="P21" s="13"/>
      <c r="Q21" s="14" t="str">
        <f t="shared" si="0"/>
        <v>"statuscode": "status_code",</v>
      </c>
      <c r="R21" s="14" t="str">
        <f t="shared" si="1"/>
        <v>"status_code": "Int64",</v>
      </c>
    </row>
    <row r="22" spans="1:18" ht="15.75" customHeight="1" outlineLevel="1">
      <c r="A22" s="37" t="s">
        <v>342</v>
      </c>
      <c r="B22" s="34" t="s">
        <v>239</v>
      </c>
      <c r="C22" s="36"/>
      <c r="D22" s="34" t="s">
        <v>343</v>
      </c>
      <c r="E22" s="168" t="s">
        <v>312</v>
      </c>
      <c r="F22" s="169"/>
      <c r="G22" s="17" t="s">
        <v>641</v>
      </c>
      <c r="H22" s="17" t="s">
        <v>344</v>
      </c>
      <c r="I22" s="48"/>
      <c r="J22" s="41"/>
      <c r="K22" s="12"/>
      <c r="L22" s="12"/>
      <c r="M22" s="45"/>
      <c r="N22" s="42"/>
      <c r="O22" s="43"/>
      <c r="P22" s="13"/>
      <c r="Q22" s="14" t="str">
        <f t="shared" si="0"/>
        <v>"modifiedon": "modified_on_date",</v>
      </c>
      <c r="R22" s="14" t="str">
        <f t="shared" si="1"/>
        <v>"modified_on_date": "datetime",</v>
      </c>
    </row>
    <row r="23" spans="1:18" ht="15.75" customHeight="1" outlineLevel="1">
      <c r="A23" s="37"/>
      <c r="B23" s="34"/>
      <c r="C23" s="36"/>
      <c r="D23" s="34"/>
      <c r="E23" s="46"/>
      <c r="F23" s="47"/>
      <c r="G23" s="17"/>
      <c r="H23" s="22"/>
      <c r="I23" s="48"/>
      <c r="J23" s="41"/>
      <c r="K23" s="12"/>
      <c r="L23" s="12"/>
      <c r="M23" s="45"/>
      <c r="N23" s="42"/>
      <c r="O23" s="43"/>
      <c r="P23" s="13"/>
      <c r="Q23" s="14"/>
      <c r="R23" s="14"/>
    </row>
    <row r="24" spans="1:18" ht="15.75" customHeight="1" outlineLevel="1">
      <c r="A24" s="37"/>
      <c r="B24" s="34"/>
      <c r="C24" s="36"/>
      <c r="D24" s="34"/>
      <c r="E24" s="168"/>
      <c r="F24" s="169"/>
      <c r="G24" s="17"/>
      <c r="H24" s="22"/>
      <c r="I24" s="23"/>
      <c r="J24" s="41"/>
      <c r="K24" s="12"/>
      <c r="L24" s="12"/>
      <c r="M24" s="45"/>
      <c r="N24" s="240"/>
      <c r="O24" s="241"/>
      <c r="P24" s="13"/>
      <c r="Q24" s="14" t="str">
        <f t="shared" ref="Q24:Q25" si="2">CONCATENATE($Q$2,H24,$R$2,A24,$Q$2,",")</f>
        <v>"": "",</v>
      </c>
      <c r="R24" s="14" t="str">
        <f t="shared" ref="R24:R25" si="3">CONCATENATE($Q$2,A24,$R$2,B24,$Q$2,",")</f>
        <v>"": "",</v>
      </c>
    </row>
    <row r="25" spans="1:18" ht="15.75" customHeight="1" outlineLevel="1">
      <c r="A25" s="38" t="s">
        <v>64</v>
      </c>
      <c r="B25" s="39"/>
      <c r="C25" s="40"/>
      <c r="D25" s="9"/>
      <c r="E25" s="168"/>
      <c r="F25" s="169"/>
      <c r="G25" s="17"/>
      <c r="H25" s="25"/>
      <c r="I25" s="24"/>
      <c r="J25" s="51"/>
      <c r="K25" s="3"/>
      <c r="L25" s="3"/>
      <c r="M25" s="49"/>
      <c r="N25" s="242"/>
      <c r="O25" s="243"/>
      <c r="P25" s="4"/>
      <c r="Q25" s="14" t="str">
        <f t="shared" si="2"/>
        <v>"": "Leave Empty",</v>
      </c>
      <c r="R25" s="14" t="str">
        <f t="shared" si="3"/>
        <v>"Leave Empty": "",</v>
      </c>
    </row>
    <row r="26" spans="1:18" ht="15.75" customHeight="1">
      <c r="E26" s="170"/>
      <c r="F26" s="146"/>
      <c r="G26" s="171"/>
      <c r="H26" s="155"/>
      <c r="I26" s="26"/>
      <c r="N26" s="226"/>
      <c r="O26" s="226"/>
    </row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</sheetData>
  <autoFilter ref="A8:P25" xr:uid="{00000000-0009-0000-0000-000000000000}"/>
  <mergeCells count="54">
    <mergeCell ref="R2:R5"/>
    <mergeCell ref="E19:F19"/>
    <mergeCell ref="N19:O19"/>
    <mergeCell ref="E24:F24"/>
    <mergeCell ref="N24:O24"/>
    <mergeCell ref="E15:F15"/>
    <mergeCell ref="N15:O15"/>
    <mergeCell ref="E16:F16"/>
    <mergeCell ref="N16:O16"/>
    <mergeCell ref="E12:F12"/>
    <mergeCell ref="N12:O12"/>
    <mergeCell ref="E13:F13"/>
    <mergeCell ref="N13:O13"/>
    <mergeCell ref="E14:F14"/>
    <mergeCell ref="E10:F10"/>
    <mergeCell ref="N10:O10"/>
    <mergeCell ref="E26:F26"/>
    <mergeCell ref="G26:H26"/>
    <mergeCell ref="N26:O26"/>
    <mergeCell ref="E17:F17"/>
    <mergeCell ref="N17:O17"/>
    <mergeCell ref="E18:F18"/>
    <mergeCell ref="N18:O18"/>
    <mergeCell ref="E20:F20"/>
    <mergeCell ref="E21:F21"/>
    <mergeCell ref="E22:F22"/>
    <mergeCell ref="E25:F25"/>
    <mergeCell ref="N25:O25"/>
    <mergeCell ref="E11:F11"/>
    <mergeCell ref="N11:O11"/>
    <mergeCell ref="E9:F9"/>
    <mergeCell ref="N9:O9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C3:C5"/>
    <mergeCell ref="D3:D5"/>
    <mergeCell ref="F3:G3"/>
    <mergeCell ref="F4:G4"/>
    <mergeCell ref="F5:G5"/>
  </mergeCells>
  <conditionalFormatting sqref="A9:A25">
    <cfRule type="expression" dxfId="48" priority="1">
      <formula>M9 = "On Hold"</formula>
    </cfRule>
  </conditionalFormatting>
  <conditionalFormatting sqref="B2:B5 J9:P25">
    <cfRule type="cellIs" dxfId="47" priority="4" operator="equal">
      <formula>"Done"</formula>
    </cfRule>
    <cfRule type="cellIs" dxfId="46" priority="5" operator="equal">
      <formula>"On Hold"</formula>
    </cfRule>
    <cfRule type="cellIs" dxfId="45" priority="7" operator="equal">
      <formula>"Ready for Review"</formula>
    </cfRule>
    <cfRule type="cellIs" dxfId="44" priority="8" operator="equal">
      <formula>"In Review"</formula>
    </cfRule>
  </conditionalFormatting>
  <dataValidations count="7">
    <dataValidation type="list" allowBlank="1" sqref="B3 M9:M25" xr:uid="{6741CA89-FC7D-46CF-94BD-2BDDD2D36A2E}">
      <formula1>Statuses</formula1>
    </dataValidation>
    <dataValidation type="list" allowBlank="1" sqref="B4:B5" xr:uid="{ED95D67B-4513-461F-BDD2-3C5222783BE2}">
      <formula1>ETL_Statuses</formula1>
    </dataValidation>
    <dataValidation type="list" allowBlank="1" showErrorMessage="1" sqref="B2" xr:uid="{8EF07440-FC43-4C85-970A-3213CFB8B77D}">
      <formula1>STT_Statuses</formula1>
    </dataValidation>
    <dataValidation type="list" allowBlank="1" sqref="B9:B19 B22:B25" xr:uid="{8D728F2E-A4F4-4D0F-91CC-135686C5DB8A}">
      <formula1>Data_Types</formula1>
    </dataValidation>
    <dataValidation type="list" allowBlank="1" sqref="E9:E25" xr:uid="{BCCE8285-15B4-47EC-A280-355A6676DF9C}">
      <formula1>Sources</formula1>
    </dataValidation>
    <dataValidation type="list" allowBlank="1" sqref="P9:P25" xr:uid="{AA593E97-4788-4FAA-942D-C540D2155885}">
      <formula1>Versions</formula1>
    </dataValidation>
    <dataValidation type="list" allowBlank="1" sqref="N9:N25" xr:uid="{A102B26E-BB88-4C66-AB30-A5E1806C78B9}">
      <formula1>Categories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E2855-F183-4DC8-908D-6F66C58ED8A4}">
  <sheetPr>
    <tabColor rgb="FF00B050"/>
    <outlinePr summaryBelow="0" summaryRight="0"/>
  </sheetPr>
  <dimension ref="A1:R156"/>
  <sheetViews>
    <sheetView zoomScale="80" zoomScaleNormal="80" workbookViewId="0">
      <pane xSplit="1" ySplit="8" topLeftCell="B16" activePane="bottomRight" state="frozen"/>
      <selection pane="bottomRight" activeCell="H24" sqref="H24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9.5703125" style="18" bestFit="1" customWidth="1" outlineLevel="1"/>
    <col min="9" max="9" width="23.425781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665</v>
      </c>
      <c r="E3" s="148"/>
      <c r="F3" s="150" t="s">
        <v>666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 t="s">
        <v>665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649</v>
      </c>
      <c r="B9" s="34" t="s">
        <v>78</v>
      </c>
      <c r="C9" s="36" t="e" vm="1">
        <v>#VALUE!</v>
      </c>
      <c r="D9" s="34" t="s">
        <v>667</v>
      </c>
      <c r="E9" s="168" t="s">
        <v>312</v>
      </c>
      <c r="F9" s="169"/>
      <c r="G9" s="17" t="s">
        <v>665</v>
      </c>
      <c r="H9" s="17" t="s">
        <v>668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"new_teamid": "team_code",</v>
      </c>
      <c r="R9" s="14" t="str">
        <f>CONCATENATE($Q$2,A9,$R$2,B9,$Q$2,",")</f>
        <v>"team_code": "string",</v>
      </c>
    </row>
    <row r="10" spans="1:18" ht="15.75" customHeight="1" outlineLevel="1">
      <c r="A10" s="37" t="s">
        <v>349</v>
      </c>
      <c r="B10" s="34" t="s">
        <v>78</v>
      </c>
      <c r="C10" s="36"/>
      <c r="D10" s="34" t="s">
        <v>654</v>
      </c>
      <c r="E10" s="168" t="s">
        <v>312</v>
      </c>
      <c r="F10" s="169"/>
      <c r="G10" s="17" t="s">
        <v>665</v>
      </c>
      <c r="H10" s="17" t="s">
        <v>627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28" si="0">CONCATENATE($Q$2,H10,$R$2,A10,$Q$2,",")</f>
        <v>"_new_id_society_value": "society_code",</v>
      </c>
      <c r="R10" s="14" t="str">
        <f t="shared" ref="R10:R28" si="1">CONCATENATE($Q$2,A10,$R$2,B10,$Q$2,",")</f>
        <v>"society_code": "string",</v>
      </c>
    </row>
    <row r="11" spans="1:18" ht="15.75" customHeight="1" outlineLevel="1">
      <c r="A11" s="37" t="s">
        <v>56</v>
      </c>
      <c r="B11" s="34" t="s">
        <v>111</v>
      </c>
      <c r="C11" s="36"/>
      <c r="D11" s="34" t="s">
        <v>669</v>
      </c>
      <c r="E11" s="168" t="s">
        <v>312</v>
      </c>
      <c r="F11" s="169"/>
      <c r="G11" s="17" t="s">
        <v>665</v>
      </c>
      <c r="H11" s="17" t="s">
        <v>348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"new_t_societynumber": "society_id",</v>
      </c>
      <c r="R11" s="14" t="str">
        <f t="shared" si="1"/>
        <v>"society_id": "Int64",</v>
      </c>
    </row>
    <row r="12" spans="1:18" ht="15.75" customHeight="1" outlineLevel="1">
      <c r="A12" s="37" t="s">
        <v>352</v>
      </c>
      <c r="B12" s="34" t="s">
        <v>78</v>
      </c>
      <c r="C12" s="36"/>
      <c r="D12" s="34" t="s">
        <v>353</v>
      </c>
      <c r="E12" s="168" t="s">
        <v>312</v>
      </c>
      <c r="F12" s="169"/>
      <c r="G12" s="17" t="s">
        <v>665</v>
      </c>
      <c r="H12" s="17" t="s">
        <v>630</v>
      </c>
      <c r="I12" s="23"/>
      <c r="J12" s="41"/>
      <c r="K12" s="12"/>
      <c r="L12" s="12"/>
      <c r="M12" s="49"/>
      <c r="N12" s="42"/>
      <c r="O12" s="43"/>
      <c r="P12" s="13"/>
      <c r="Q12" s="14" t="str">
        <f t="shared" si="0"/>
        <v>"new_t_associationname": "society_name",</v>
      </c>
      <c r="R12" s="14" t="str">
        <f t="shared" si="1"/>
        <v>"society_name": "string",</v>
      </c>
    </row>
    <row r="13" spans="1:18" ht="15.75" customHeight="1" outlineLevel="1">
      <c r="A13" s="37" t="s">
        <v>60</v>
      </c>
      <c r="B13" s="34" t="s">
        <v>111</v>
      </c>
      <c r="C13" s="36"/>
      <c r="D13" s="34" t="s">
        <v>670</v>
      </c>
      <c r="E13" s="168" t="s">
        <v>312</v>
      </c>
      <c r="F13" s="169"/>
      <c r="G13" s="17" t="s">
        <v>665</v>
      </c>
      <c r="H13" s="17" t="s">
        <v>671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"new_i_teamnumber": "team_number",</v>
      </c>
      <c r="R13" s="14" t="str">
        <f t="shared" si="1"/>
        <v>"team_number": "Int64",</v>
      </c>
    </row>
    <row r="14" spans="1:18" ht="15.75" customHeight="1" outlineLevel="1">
      <c r="A14" s="37" t="s">
        <v>672</v>
      </c>
      <c r="B14" s="34" t="s">
        <v>217</v>
      </c>
      <c r="C14" s="36"/>
      <c r="D14" s="16" t="s">
        <v>673</v>
      </c>
      <c r="E14" s="168" t="s">
        <v>312</v>
      </c>
      <c r="F14" s="169"/>
      <c r="G14" s="17" t="s">
        <v>665</v>
      </c>
      <c r="H14" s="17" t="s">
        <v>674</v>
      </c>
      <c r="I14" s="23"/>
      <c r="J14" s="41"/>
      <c r="K14" s="12"/>
      <c r="L14" s="12"/>
      <c r="M14" s="49"/>
      <c r="N14" s="240"/>
      <c r="O14" s="241"/>
      <c r="P14" s="13"/>
      <c r="Q14" s="14" t="str">
        <f t="shared" si="0"/>
        <v>"new_d_addedachievementscore": "team_achievement_score",</v>
      </c>
      <c r="R14" s="14" t="str">
        <f t="shared" si="1"/>
        <v>"team_achievement_score": "float64",</v>
      </c>
    </row>
    <row r="15" spans="1:18" ht="15.75" customHeight="1" outlineLevel="1">
      <c r="A15" s="56" t="s">
        <v>449</v>
      </c>
      <c r="B15" s="34" t="s">
        <v>78</v>
      </c>
      <c r="C15" s="58"/>
      <c r="D15" s="134" t="s">
        <v>629</v>
      </c>
      <c r="E15" s="168" t="s">
        <v>312</v>
      </c>
      <c r="F15" s="169"/>
      <c r="G15" s="17" t="s">
        <v>665</v>
      </c>
      <c r="H15" s="17" t="s">
        <v>451</v>
      </c>
      <c r="I15" s="23"/>
      <c r="J15" s="41"/>
      <c r="K15" s="12"/>
      <c r="L15" s="12"/>
      <c r="M15" s="49"/>
      <c r="N15" s="240"/>
      <c r="O15" s="241"/>
      <c r="P15" s="13"/>
      <c r="Q15" s="14" t="str">
        <f t="shared" si="0"/>
        <v>"_new_id_supportrequest_value": "support_request_code",</v>
      </c>
      <c r="R15" s="14" t="str">
        <f t="shared" si="1"/>
        <v>"support_request_code": "string",</v>
      </c>
    </row>
    <row r="16" spans="1:18" ht="15.75" customHeight="1" outlineLevel="1">
      <c r="A16" s="56" t="s">
        <v>610</v>
      </c>
      <c r="B16" s="34" t="s">
        <v>78</v>
      </c>
      <c r="C16" s="36"/>
      <c r="D16" s="34" t="s">
        <v>675</v>
      </c>
      <c r="E16" s="168" t="s">
        <v>312</v>
      </c>
      <c r="F16" s="169"/>
      <c r="G16" s="17" t="s">
        <v>665</v>
      </c>
      <c r="H16" s="22" t="s">
        <v>676</v>
      </c>
      <c r="I16" s="23"/>
      <c r="J16" s="41"/>
      <c r="K16" s="12"/>
      <c r="L16" s="12"/>
      <c r="M16" s="49"/>
      <c r="N16" s="240"/>
      <c r="O16" s="241"/>
      <c r="P16" s="13"/>
      <c r="Q16" s="14" t="str">
        <f t="shared" si="0"/>
        <v>"_new_id_league_value": "league_code",</v>
      </c>
      <c r="R16" s="14" t="str">
        <f t="shared" si="1"/>
        <v>"league_code": "string",</v>
      </c>
    </row>
    <row r="17" spans="1:18" ht="15.75" customHeight="1" outlineLevel="1">
      <c r="A17" s="37" t="s">
        <v>677</v>
      </c>
      <c r="B17" s="34" t="s">
        <v>78</v>
      </c>
      <c r="C17" s="36"/>
      <c r="D17" s="16" t="s">
        <v>678</v>
      </c>
      <c r="E17" s="168" t="s">
        <v>312</v>
      </c>
      <c r="F17" s="169"/>
      <c r="G17" s="17" t="s">
        <v>665</v>
      </c>
      <c r="H17" s="22" t="s">
        <v>679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"new_t_teamname": "team_name",</v>
      </c>
      <c r="R17" s="14" t="str">
        <f t="shared" si="1"/>
        <v>"team_name": "string",</v>
      </c>
    </row>
    <row r="18" spans="1:18" ht="15.75" customHeight="1" outlineLevel="1">
      <c r="A18" s="37" t="s">
        <v>355</v>
      </c>
      <c r="B18" s="34" t="s">
        <v>78</v>
      </c>
      <c r="C18" s="36"/>
      <c r="D18" s="34" t="s">
        <v>631</v>
      </c>
      <c r="E18" s="168" t="s">
        <v>312</v>
      </c>
      <c r="F18" s="169"/>
      <c r="G18" s="17" t="s">
        <v>665</v>
      </c>
      <c r="H18" s="22" t="s">
        <v>357</v>
      </c>
      <c r="I18" s="23"/>
      <c r="J18" s="41"/>
      <c r="K18" s="12"/>
      <c r="L18" s="12"/>
      <c r="M18" s="49"/>
      <c r="N18" s="240"/>
      <c r="O18" s="241"/>
      <c r="P18" s="13"/>
      <c r="Q18" s="14" t="str">
        <f t="shared" si="0"/>
        <v>"_new_id_localauthority_value": "authority_code",</v>
      </c>
      <c r="R18" s="14" t="str">
        <f t="shared" si="1"/>
        <v>"authority_code": "string",</v>
      </c>
    </row>
    <row r="19" spans="1:18" ht="15.75" customHeight="1" outlineLevel="1">
      <c r="A19" s="37" t="s">
        <v>87</v>
      </c>
      <c r="B19" s="34" t="s">
        <v>78</v>
      </c>
      <c r="C19" s="36"/>
      <c r="D19" s="16" t="s">
        <v>426</v>
      </c>
      <c r="E19" s="168" t="s">
        <v>312</v>
      </c>
      <c r="F19" s="169"/>
      <c r="G19" s="17" t="s">
        <v>665</v>
      </c>
      <c r="H19" s="22" t="s">
        <v>359</v>
      </c>
      <c r="I19" s="23"/>
      <c r="J19" s="41"/>
      <c r="K19" s="12"/>
      <c r="L19" s="12"/>
      <c r="M19" s="49"/>
      <c r="N19" s="240"/>
      <c r="O19" s="241"/>
      <c r="P19" s="13"/>
      <c r="Q19" s="14" t="str">
        <f t="shared" si="0"/>
        <v>"_new_id_localauthority_value_label": "authority_name",</v>
      </c>
      <c r="R19" s="14" t="str">
        <f t="shared" si="1"/>
        <v>"authority_name": "string",</v>
      </c>
    </row>
    <row r="20" spans="1:18" ht="15.75" customHeight="1" outlineLevel="1">
      <c r="A20" s="37" t="s">
        <v>623</v>
      </c>
      <c r="B20" s="34" t="s">
        <v>78</v>
      </c>
      <c r="C20" s="36"/>
      <c r="D20" s="16" t="s">
        <v>680</v>
      </c>
      <c r="E20" s="168" t="s">
        <v>312</v>
      </c>
      <c r="F20" s="169"/>
      <c r="G20" s="17" t="s">
        <v>665</v>
      </c>
      <c r="H20" s="22" t="s">
        <v>681</v>
      </c>
      <c r="I20" s="23"/>
      <c r="J20" s="41"/>
      <c r="K20" s="12"/>
      <c r="L20" s="12"/>
      <c r="M20" s="49"/>
      <c r="N20" s="42"/>
      <c r="O20" s="43"/>
      <c r="P20" s="13"/>
      <c r="Q20" s="14" t="str">
        <f t="shared" si="0"/>
        <v>"_new_id_associationinsupportrequest_value": "society_union_code",</v>
      </c>
      <c r="R20" s="14" t="str">
        <f t="shared" si="1"/>
        <v>"society_union_code": "string",</v>
      </c>
    </row>
    <row r="21" spans="1:18" ht="15.75" customHeight="1" outlineLevel="1">
      <c r="A21" s="37" t="s">
        <v>638</v>
      </c>
      <c r="B21" s="34" t="s">
        <v>78</v>
      </c>
      <c r="C21" s="36"/>
      <c r="D21" s="67" t="s">
        <v>682</v>
      </c>
      <c r="E21" s="168" t="s">
        <v>312</v>
      </c>
      <c r="F21" s="169"/>
      <c r="G21" s="17" t="s">
        <v>665</v>
      </c>
      <c r="H21" s="22" t="s">
        <v>683</v>
      </c>
      <c r="I21" s="23"/>
      <c r="J21" s="41"/>
      <c r="K21" s="12"/>
      <c r="L21" s="12"/>
      <c r="M21" s="49"/>
      <c r="N21" s="42"/>
      <c r="O21" s="43"/>
      <c r="P21" s="13"/>
      <c r="Q21" s="14" t="str">
        <f t="shared" si="0"/>
        <v>"new_pl_meetsthresholdconditions_label": "is_pass_threshold_condition",</v>
      </c>
      <c r="R21" s="14" t="str">
        <f t="shared" si="1"/>
        <v>"is_pass_threshold_condition": "string",</v>
      </c>
    </row>
    <row r="22" spans="1:18" ht="15.75" customHeight="1" outlineLevel="1">
      <c r="A22" s="37" t="s">
        <v>684</v>
      </c>
      <c r="B22" s="34" t="s">
        <v>78</v>
      </c>
      <c r="C22" s="36"/>
      <c r="D22" s="16" t="s">
        <v>685</v>
      </c>
      <c r="E22" s="168" t="s">
        <v>312</v>
      </c>
      <c r="F22" s="169"/>
      <c r="G22" s="17" t="s">
        <v>665</v>
      </c>
      <c r="H22" s="22" t="s">
        <v>686</v>
      </c>
      <c r="I22" s="23"/>
      <c r="J22" s="41"/>
      <c r="K22" s="12"/>
      <c r="L22" s="12"/>
      <c r="M22" s="49"/>
      <c r="N22" s="42"/>
      <c r="O22" s="43"/>
      <c r="P22" s="13"/>
      <c r="Q22" s="14" t="str">
        <f t="shared" si="0"/>
        <v>"new_b_meetsthresholdconditionsforgroups_label": "is_pass_special_threshold_condition",</v>
      </c>
      <c r="R22" s="14" t="str">
        <f t="shared" si="1"/>
        <v>"is_pass_special_threshold_condition": "string",</v>
      </c>
    </row>
    <row r="23" spans="1:18" ht="15.75" customHeight="1" outlineLevel="1">
      <c r="A23" s="37" t="s">
        <v>335</v>
      </c>
      <c r="B23" s="55" t="s">
        <v>111</v>
      </c>
      <c r="C23" s="36"/>
      <c r="D23" s="34" t="s">
        <v>336</v>
      </c>
      <c r="E23" s="168" t="s">
        <v>312</v>
      </c>
      <c r="F23" s="169"/>
      <c r="G23" s="17" t="s">
        <v>665</v>
      </c>
      <c r="H23" s="17" t="s">
        <v>337</v>
      </c>
      <c r="I23" s="23"/>
      <c r="J23" s="41"/>
      <c r="K23" s="12"/>
      <c r="L23" s="12"/>
      <c r="M23" s="49"/>
      <c r="N23" s="42"/>
      <c r="O23" s="43"/>
      <c r="P23" s="13"/>
      <c r="Q23" s="14" t="str">
        <f t="shared" si="0"/>
        <v>"statecode": "is_inactive",</v>
      </c>
      <c r="R23" s="14" t="str">
        <f t="shared" si="1"/>
        <v>"is_inactive": "Int64",</v>
      </c>
    </row>
    <row r="24" spans="1:18" ht="15.75" customHeight="1" outlineLevel="1">
      <c r="A24" s="37" t="s">
        <v>338</v>
      </c>
      <c r="B24" s="55" t="s">
        <v>111</v>
      </c>
      <c r="C24" s="36"/>
      <c r="D24" s="34" t="s">
        <v>340</v>
      </c>
      <c r="E24" s="168" t="s">
        <v>312</v>
      </c>
      <c r="F24" s="169"/>
      <c r="G24" s="17" t="s">
        <v>665</v>
      </c>
      <c r="H24" s="22" t="s">
        <v>341</v>
      </c>
      <c r="I24" s="23"/>
      <c r="J24" s="41"/>
      <c r="K24" s="12"/>
      <c r="L24" s="12"/>
      <c r="M24" s="49"/>
      <c r="N24" s="42"/>
      <c r="O24" s="43"/>
      <c r="P24" s="13"/>
      <c r="Q24" s="14" t="str">
        <f t="shared" si="0"/>
        <v>"statuscode": "status_code",</v>
      </c>
      <c r="R24" s="14" t="str">
        <f t="shared" si="1"/>
        <v>"status_code": "Int64",</v>
      </c>
    </row>
    <row r="25" spans="1:18" ht="15.75" customHeight="1" outlineLevel="1">
      <c r="A25" s="37" t="s">
        <v>342</v>
      </c>
      <c r="B25" s="34" t="s">
        <v>239</v>
      </c>
      <c r="C25" s="36"/>
      <c r="D25" s="34" t="s">
        <v>343</v>
      </c>
      <c r="E25" s="168" t="s">
        <v>312</v>
      </c>
      <c r="F25" s="169"/>
      <c r="G25" s="17" t="s">
        <v>665</v>
      </c>
      <c r="H25" s="17" t="s">
        <v>344</v>
      </c>
      <c r="I25" s="48"/>
      <c r="J25" s="41"/>
      <c r="K25" s="12"/>
      <c r="L25" s="12"/>
      <c r="M25" s="45"/>
      <c r="N25" s="42"/>
      <c r="O25" s="43"/>
      <c r="P25" s="13"/>
      <c r="Q25" s="14" t="str">
        <f t="shared" si="0"/>
        <v>"modifiedon": "modified_on_date",</v>
      </c>
      <c r="R25" s="14" t="str">
        <f t="shared" si="1"/>
        <v>"modified_on_date": "datetime",</v>
      </c>
    </row>
    <row r="26" spans="1:18" ht="15.75" customHeight="1" outlineLevel="1">
      <c r="A26" s="37"/>
      <c r="B26" s="34"/>
      <c r="C26" s="36"/>
      <c r="D26" s="34"/>
      <c r="E26" s="46"/>
      <c r="F26" s="47"/>
      <c r="G26" s="17"/>
      <c r="H26" s="22"/>
      <c r="I26" s="48"/>
      <c r="J26" s="41"/>
      <c r="K26" s="12"/>
      <c r="L26" s="12"/>
      <c r="M26" s="45"/>
      <c r="N26" s="42"/>
      <c r="O26" s="43"/>
      <c r="P26" s="13"/>
      <c r="Q26" s="14" t="str">
        <f t="shared" si="0"/>
        <v>"": "",</v>
      </c>
      <c r="R26" s="14" t="str">
        <f t="shared" si="1"/>
        <v>"": "",</v>
      </c>
    </row>
    <row r="27" spans="1:18" ht="15.75" customHeight="1" outlineLevel="1">
      <c r="A27" s="37"/>
      <c r="B27" s="34"/>
      <c r="C27" s="36"/>
      <c r="D27" s="34"/>
      <c r="E27" s="168"/>
      <c r="F27" s="169"/>
      <c r="G27" s="17"/>
      <c r="H27" s="22"/>
      <c r="I27" s="23"/>
      <c r="J27" s="41"/>
      <c r="K27" s="12"/>
      <c r="L27" s="12"/>
      <c r="M27" s="45"/>
      <c r="N27" s="240"/>
      <c r="O27" s="241"/>
      <c r="P27" s="13"/>
      <c r="Q27" s="14" t="str">
        <f t="shared" si="0"/>
        <v>"": "",</v>
      </c>
      <c r="R27" s="14" t="str">
        <f t="shared" si="1"/>
        <v>"": "",</v>
      </c>
    </row>
    <row r="28" spans="1:18" ht="15.75" customHeight="1" outlineLevel="1">
      <c r="A28" s="38" t="s">
        <v>64</v>
      </c>
      <c r="B28" s="39"/>
      <c r="C28" s="40"/>
      <c r="D28" s="9"/>
      <c r="E28" s="168"/>
      <c r="F28" s="169"/>
      <c r="G28" s="17"/>
      <c r="H28" s="25"/>
      <c r="I28" s="24"/>
      <c r="J28" s="51"/>
      <c r="K28" s="3"/>
      <c r="L28" s="3"/>
      <c r="M28" s="49"/>
      <c r="N28" s="242"/>
      <c r="O28" s="243"/>
      <c r="P28" s="4"/>
      <c r="Q28" s="14" t="str">
        <f t="shared" si="0"/>
        <v>"": "Leave Empty",</v>
      </c>
      <c r="R28" s="14" t="str">
        <f t="shared" si="1"/>
        <v>"Leave Empty": "",</v>
      </c>
    </row>
    <row r="29" spans="1:18" ht="15.75" customHeight="1">
      <c r="E29" s="170"/>
      <c r="F29" s="146"/>
      <c r="G29" s="171"/>
      <c r="H29" s="155"/>
      <c r="I29" s="26"/>
      <c r="N29" s="226"/>
      <c r="O29" s="226"/>
    </row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</sheetData>
  <autoFilter ref="A8:P28" xr:uid="{00000000-0009-0000-0000-000000000000}"/>
  <mergeCells count="56">
    <mergeCell ref="R2:R5"/>
    <mergeCell ref="E19:F19"/>
    <mergeCell ref="N19:O19"/>
    <mergeCell ref="E27:F27"/>
    <mergeCell ref="N27:O27"/>
    <mergeCell ref="E15:F15"/>
    <mergeCell ref="N15:O15"/>
    <mergeCell ref="E16:F16"/>
    <mergeCell ref="N16:O16"/>
    <mergeCell ref="E13:F13"/>
    <mergeCell ref="N13:O13"/>
    <mergeCell ref="E14:F14"/>
    <mergeCell ref="N14:O14"/>
    <mergeCell ref="E12:F12"/>
    <mergeCell ref="E11:F11"/>
    <mergeCell ref="N11:O11"/>
    <mergeCell ref="E29:F29"/>
    <mergeCell ref="G29:H29"/>
    <mergeCell ref="N29:O29"/>
    <mergeCell ref="E17:F17"/>
    <mergeCell ref="N17:O17"/>
    <mergeCell ref="E18:F18"/>
    <mergeCell ref="N18:O18"/>
    <mergeCell ref="E23:F23"/>
    <mergeCell ref="E24:F24"/>
    <mergeCell ref="E25:F25"/>
    <mergeCell ref="E20:F20"/>
    <mergeCell ref="E28:F28"/>
    <mergeCell ref="N28:O28"/>
    <mergeCell ref="E21:F21"/>
    <mergeCell ref="E22:F22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C3:C5"/>
    <mergeCell ref="D3:D5"/>
    <mergeCell ref="F3:G3"/>
    <mergeCell ref="F4:G4"/>
    <mergeCell ref="F5:G5"/>
    <mergeCell ref="E9:F9"/>
    <mergeCell ref="N9:O9"/>
    <mergeCell ref="E10:F10"/>
    <mergeCell ref="B7:D7"/>
    <mergeCell ref="E7:I7"/>
    <mergeCell ref="J7:L7"/>
    <mergeCell ref="N7:P7"/>
    <mergeCell ref="E8:F8"/>
    <mergeCell ref="N8:O8"/>
  </mergeCells>
  <conditionalFormatting sqref="A9:A14">
    <cfRule type="expression" dxfId="43" priority="6">
      <formula>M9 = "On Hold"</formula>
    </cfRule>
  </conditionalFormatting>
  <conditionalFormatting sqref="A17:A28">
    <cfRule type="expression" dxfId="42" priority="1">
      <formula>M17 = "On Hold"</formula>
    </cfRule>
  </conditionalFormatting>
  <conditionalFormatting sqref="B2:B5 J9:P28">
    <cfRule type="cellIs" dxfId="41" priority="4" operator="equal">
      <formula>"Done"</formula>
    </cfRule>
    <cfRule type="cellIs" dxfId="40" priority="5" operator="equal">
      <formula>"On Hold"</formula>
    </cfRule>
    <cfRule type="cellIs" dxfId="39" priority="7" operator="equal">
      <formula>"Ready for Review"</formula>
    </cfRule>
    <cfRule type="cellIs" dxfId="38" priority="8" operator="equal">
      <formula>"In Review"</formula>
    </cfRule>
  </conditionalFormatting>
  <dataValidations count="7">
    <dataValidation type="list" allowBlank="1" showErrorMessage="1" sqref="B2" xr:uid="{1D419E36-7FC1-458F-8861-AE32A98B0D34}">
      <formula1>STT_Statuses</formula1>
    </dataValidation>
    <dataValidation type="list" allowBlank="1" sqref="B4:B5" xr:uid="{CAEFA34C-389B-4D94-B578-FE6A8B9A3A39}">
      <formula1>ETL_Statuses</formula1>
    </dataValidation>
    <dataValidation type="list" allowBlank="1" sqref="B3 M9:M28" xr:uid="{BBD83AD3-8AA6-4A94-BBFB-21DA74516EF0}">
      <formula1>Statuses</formula1>
    </dataValidation>
    <dataValidation type="list" allowBlank="1" sqref="N9:N28" xr:uid="{8E66E3FA-537B-4FEE-95D1-DEC907A07FFF}">
      <formula1>Categories</formula1>
    </dataValidation>
    <dataValidation type="list" allowBlank="1" sqref="P9:P28" xr:uid="{78EA5D5B-197B-450B-AC5E-7C30DA07020A}">
      <formula1>Versions</formula1>
    </dataValidation>
    <dataValidation type="list" allowBlank="1" sqref="E9:E28" xr:uid="{0A40E97B-1FEE-488E-A605-70DF54123D5F}">
      <formula1>Sources</formula1>
    </dataValidation>
    <dataValidation type="list" allowBlank="1" sqref="B25:B28 B9:B22" xr:uid="{FF1BDA3D-ED83-4B25-ABCD-DB7A54E03931}">
      <formula1>Data_Types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16127-E80D-4098-8913-C80B26F01CC0}">
  <sheetPr>
    <tabColor rgb="FF00B050"/>
    <outlinePr summaryBelow="0" summaryRight="0"/>
  </sheetPr>
  <dimension ref="A1:R167"/>
  <sheetViews>
    <sheetView workbookViewId="0">
      <pane xSplit="1" ySplit="8" topLeftCell="B14" activePane="bottomRight" state="frozen"/>
      <selection pane="bottomRight" activeCell="D21" sqref="D21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43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4.570312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687</v>
      </c>
      <c r="E3" s="148"/>
      <c r="F3" s="150" t="s">
        <v>688</v>
      </c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11" t="s">
        <v>689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56" t="s">
        <v>449</v>
      </c>
      <c r="B9" s="34" t="s">
        <v>78</v>
      </c>
      <c r="C9" s="36" t="e" vm="1">
        <v>#VALUE!</v>
      </c>
      <c r="D9" s="34" t="s">
        <v>450</v>
      </c>
      <c r="E9" s="168" t="s">
        <v>312</v>
      </c>
      <c r="F9" s="169"/>
      <c r="G9" s="17" t="s">
        <v>689</v>
      </c>
      <c r="H9" s="17" t="s">
        <v>690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"new_supportrequestid": "support_request_code",</v>
      </c>
      <c r="R9" s="14" t="str">
        <f>CONCATENATE($Q$2,A9,$R$2,B9,$Q$2,",")</f>
        <v>"support_request_code": "string",</v>
      </c>
    </row>
    <row r="10" spans="1:18" ht="15.75" customHeight="1" outlineLevel="1">
      <c r="A10" s="37" t="s">
        <v>32</v>
      </c>
      <c r="B10" s="34" t="s">
        <v>111</v>
      </c>
      <c r="C10" s="36"/>
      <c r="D10" s="34" t="s">
        <v>691</v>
      </c>
      <c r="E10" s="168" t="s">
        <v>312</v>
      </c>
      <c r="F10" s="169"/>
      <c r="G10" s="17" t="s">
        <v>689</v>
      </c>
      <c r="H10" s="17" t="s">
        <v>692</v>
      </c>
      <c r="I10" s="23"/>
      <c r="J10" s="41"/>
      <c r="K10" s="12"/>
      <c r="L10" s="12"/>
      <c r="M10" s="49"/>
      <c r="N10" s="42"/>
      <c r="O10" s="43"/>
      <c r="P10" s="13"/>
      <c r="Q10" s="14" t="str">
        <f t="shared" ref="Q10:Q36" si="0">CONCATENATE($Q$2,H10,$R$2,A10,$Q$2,",")</f>
        <v>"new_n_accountnumber": "association_id",</v>
      </c>
      <c r="R10" s="14" t="str">
        <f t="shared" ref="R10:R39" si="1">CONCATENATE($Q$2,A10,$R$2,B10,$Q$2,",")</f>
        <v>"association_id": "Int64",</v>
      </c>
    </row>
    <row r="11" spans="1:18" ht="15.75" customHeight="1" outlineLevel="1">
      <c r="A11" s="37" t="s">
        <v>365</v>
      </c>
      <c r="B11" s="34" t="s">
        <v>78</v>
      </c>
      <c r="C11" s="36"/>
      <c r="D11" s="34" t="s">
        <v>596</v>
      </c>
      <c r="E11" s="168" t="s">
        <v>312</v>
      </c>
      <c r="F11" s="169"/>
      <c r="G11" s="17" t="s">
        <v>689</v>
      </c>
      <c r="H11" s="17" t="s">
        <v>693</v>
      </c>
      <c r="I11" s="23"/>
      <c r="J11" s="41"/>
      <c r="K11" s="12"/>
      <c r="L11" s="12"/>
      <c r="M11" s="49"/>
      <c r="N11" s="42"/>
      <c r="O11" s="43"/>
      <c r="P11" s="13"/>
      <c r="Q11" s="14" t="str">
        <f t="shared" si="0"/>
        <v>"_new_id_branch_value": "branch_code",</v>
      </c>
      <c r="R11" s="14" t="str">
        <f t="shared" si="1"/>
        <v>"branch_code": "string",</v>
      </c>
    </row>
    <row r="12" spans="1:18" ht="15.75" customHeight="1" outlineLevel="1">
      <c r="A12" s="37" t="s">
        <v>589</v>
      </c>
      <c r="B12" s="34" t="s">
        <v>78</v>
      </c>
      <c r="C12" s="36"/>
      <c r="D12" s="34" t="s">
        <v>694</v>
      </c>
      <c r="E12" s="168" t="s">
        <v>312</v>
      </c>
      <c r="F12" s="169"/>
      <c r="G12" s="17" t="s">
        <v>689</v>
      </c>
      <c r="H12" s="22" t="s">
        <v>695</v>
      </c>
      <c r="I12" s="17"/>
      <c r="J12" s="41"/>
      <c r="K12" s="12"/>
      <c r="L12" s="12"/>
      <c r="M12" s="49"/>
      <c r="N12" s="240"/>
      <c r="O12" s="241"/>
      <c r="P12" s="13"/>
      <c r="Q12" s="14" t="str">
        <f t="shared" si="0"/>
        <v>"_new_id_branchtoaccount_value": "branch_to_account_code",</v>
      </c>
      <c r="R12" s="14" t="str">
        <f t="shared" si="1"/>
        <v>"branch_to_account_code": "string",</v>
      </c>
    </row>
    <row r="13" spans="1:18" ht="15.75" customHeight="1" outlineLevel="1">
      <c r="A13" s="37" t="s">
        <v>326</v>
      </c>
      <c r="B13" s="34" t="s">
        <v>78</v>
      </c>
      <c r="C13" s="36"/>
      <c r="D13" s="34" t="s">
        <v>327</v>
      </c>
      <c r="E13" s="168" t="s">
        <v>312</v>
      </c>
      <c r="F13" s="169"/>
      <c r="G13" s="17" t="s">
        <v>689</v>
      </c>
      <c r="H13" s="22" t="s">
        <v>696</v>
      </c>
      <c r="I13" s="48"/>
      <c r="J13" s="41"/>
      <c r="K13" s="12"/>
      <c r="L13" s="12"/>
      <c r="M13" s="49"/>
      <c r="N13" s="42"/>
      <c r="O13" s="43"/>
      <c r="P13" s="13"/>
      <c r="Q13" s="14" t="str">
        <f t="shared" si="0"/>
        <v>"new_t_providernumber": "provider_num",</v>
      </c>
      <c r="R13" s="14" t="str">
        <f t="shared" si="1"/>
        <v>"provider_num": "string",</v>
      </c>
    </row>
    <row r="14" spans="1:18" ht="15.75" customHeight="1" outlineLevel="1">
      <c r="A14" s="37" t="s">
        <v>316</v>
      </c>
      <c r="B14" s="34" t="s">
        <v>78</v>
      </c>
      <c r="C14" s="36"/>
      <c r="D14" s="34" t="s">
        <v>594</v>
      </c>
      <c r="E14" s="168" t="s">
        <v>312</v>
      </c>
      <c r="F14" s="169"/>
      <c r="G14" s="17" t="s">
        <v>689</v>
      </c>
      <c r="H14" s="22" t="s">
        <v>697</v>
      </c>
      <c r="I14" s="48"/>
      <c r="J14" s="41"/>
      <c r="K14" s="12"/>
      <c r="L14" s="12"/>
      <c r="M14" s="49"/>
      <c r="N14" s="42"/>
      <c r="O14" s="43"/>
      <c r="P14" s="13"/>
      <c r="Q14" s="14" t="str">
        <f t="shared" si="0"/>
        <v>"_new_accountid_value": "association_code",</v>
      </c>
      <c r="R14" s="14" t="str">
        <f t="shared" si="1"/>
        <v>"association_code": "string",</v>
      </c>
    </row>
    <row r="15" spans="1:18" ht="15.75" customHeight="1" outlineLevel="1">
      <c r="A15" s="37" t="s">
        <v>698</v>
      </c>
      <c r="B15" s="34" t="s">
        <v>217</v>
      </c>
      <c r="C15" s="36"/>
      <c r="D15" s="16" t="s">
        <v>699</v>
      </c>
      <c r="E15" s="168" t="s">
        <v>312</v>
      </c>
      <c r="F15" s="169"/>
      <c r="G15" s="17" t="s">
        <v>689</v>
      </c>
      <c r="H15" s="22" t="s">
        <v>700</v>
      </c>
      <c r="I15" s="48"/>
      <c r="J15" s="41"/>
      <c r="K15" s="12"/>
      <c r="L15" s="12"/>
      <c r="M15" s="49"/>
      <c r="N15" s="42"/>
      <c r="O15" s="43"/>
      <c r="P15" s="13"/>
      <c r="Q15" s="14" t="str">
        <f t="shared" si="0"/>
        <v>"new_d_totalteamscore": "team_score",</v>
      </c>
      <c r="R15" s="14" t="str">
        <f t="shared" si="1"/>
        <v>"team_score": "float64",</v>
      </c>
    </row>
    <row r="16" spans="1:18" ht="15.75" customHeight="1" outlineLevel="1">
      <c r="A16" s="37" t="s">
        <v>701</v>
      </c>
      <c r="B16" s="34" t="s">
        <v>217</v>
      </c>
      <c r="C16" s="36"/>
      <c r="D16" s="16" t="s">
        <v>702</v>
      </c>
      <c r="E16" s="168" t="s">
        <v>312</v>
      </c>
      <c r="F16" s="169"/>
      <c r="G16" s="17" t="s">
        <v>689</v>
      </c>
      <c r="H16" s="22" t="s">
        <v>703</v>
      </c>
      <c r="I16" s="48"/>
      <c r="J16" s="41"/>
      <c r="K16" s="12"/>
      <c r="L16" s="12"/>
      <c r="M16" s="49"/>
      <c r="N16" s="42"/>
      <c r="O16" s="43"/>
      <c r="P16" s="13"/>
      <c r="Q16" s="14" t="str">
        <f t="shared" si="0"/>
        <v>"new_i_athletestotalscore": "athlet_score",</v>
      </c>
      <c r="R16" s="14" t="str">
        <f t="shared" si="1"/>
        <v>"athlet_score": "float64",</v>
      </c>
    </row>
    <row r="17" spans="1:18" ht="15.75" customHeight="1" outlineLevel="1">
      <c r="A17" s="37" t="s">
        <v>391</v>
      </c>
      <c r="B17" s="34" t="s">
        <v>111</v>
      </c>
      <c r="C17" s="36"/>
      <c r="D17" s="34" t="s">
        <v>392</v>
      </c>
      <c r="E17" s="168" t="s">
        <v>312</v>
      </c>
      <c r="F17" s="169"/>
      <c r="G17" s="17" t="s">
        <v>689</v>
      </c>
      <c r="H17" s="17" t="s">
        <v>393</v>
      </c>
      <c r="I17" s="23"/>
      <c r="J17" s="41"/>
      <c r="K17" s="12"/>
      <c r="L17" s="12"/>
      <c r="M17" s="49"/>
      <c r="N17" s="240"/>
      <c r="O17" s="241"/>
      <c r="P17" s="13"/>
      <c r="Q17" s="14" t="str">
        <f t="shared" si="0"/>
        <v>"new_b_branchwithspecialneeds": "is_special_needs_branch",</v>
      </c>
      <c r="R17" s="14" t="str">
        <f t="shared" si="1"/>
        <v>"is_special_needs_branch": "Int64",</v>
      </c>
    </row>
    <row r="18" spans="1:18" ht="15.75" customHeight="1" outlineLevel="1">
      <c r="A18" s="37" t="s">
        <v>370</v>
      </c>
      <c r="B18" s="34" t="s">
        <v>111</v>
      </c>
      <c r="C18" s="36"/>
      <c r="D18" s="34" t="s">
        <v>371</v>
      </c>
      <c r="E18" s="168" t="s">
        <v>312</v>
      </c>
      <c r="F18" s="169"/>
      <c r="G18" s="17" t="s">
        <v>689</v>
      </c>
      <c r="H18" s="17" t="s">
        <v>372</v>
      </c>
      <c r="I18" s="23"/>
      <c r="J18" s="41"/>
      <c r="K18" s="12"/>
      <c r="L18" s="12"/>
      <c r="M18" s="49"/>
      <c r="N18" s="42"/>
      <c r="O18" s="43"/>
      <c r="P18" s="13"/>
      <c r="Q18" s="14" t="str">
        <f t="shared" si="0"/>
        <v>"new_b_upperbranch": "is_upper_branch",</v>
      </c>
      <c r="R18" s="14" t="str">
        <f t="shared" si="1"/>
        <v>"is_upper_branch": "Int64",</v>
      </c>
    </row>
    <row r="19" spans="1:18" ht="15.75" customHeight="1" outlineLevel="1">
      <c r="A19" s="37" t="s">
        <v>39</v>
      </c>
      <c r="B19" s="34" t="s">
        <v>78</v>
      </c>
      <c r="C19" s="36"/>
      <c r="D19" s="34" t="s">
        <v>368</v>
      </c>
      <c r="E19" s="168" t="s">
        <v>312</v>
      </c>
      <c r="F19" s="169"/>
      <c r="G19" s="17" t="s">
        <v>689</v>
      </c>
      <c r="H19" s="17" t="s">
        <v>704</v>
      </c>
      <c r="I19" s="23"/>
      <c r="J19" s="41"/>
      <c r="K19" s="12"/>
      <c r="L19" s="12"/>
      <c r="M19" s="49"/>
      <c r="N19" s="240"/>
      <c r="O19" s="241"/>
      <c r="P19" s="13"/>
      <c r="Q19" s="14" t="str">
        <f t="shared" si="0"/>
        <v>"_new_id_branch_value_label": "branch_name",</v>
      </c>
      <c r="R19" s="14" t="str">
        <f t="shared" si="1"/>
        <v>"branch_name": "string",</v>
      </c>
    </row>
    <row r="20" spans="1:18" ht="15.75" customHeight="1" outlineLevel="1">
      <c r="A20" s="37" t="s">
        <v>705</v>
      </c>
      <c r="B20" s="34" t="s">
        <v>111</v>
      </c>
      <c r="C20" s="36"/>
      <c r="D20" s="34" t="s">
        <v>706</v>
      </c>
      <c r="E20" s="168" t="s">
        <v>312</v>
      </c>
      <c r="F20" s="169"/>
      <c r="G20" s="17" t="s">
        <v>689</v>
      </c>
      <c r="H20" s="17" t="s">
        <v>707</v>
      </c>
      <c r="I20" s="23"/>
      <c r="J20" s="41"/>
      <c r="K20" s="12"/>
      <c r="L20" s="12"/>
      <c r="M20" s="49"/>
      <c r="N20" s="240"/>
      <c r="O20" s="241"/>
      <c r="P20" s="13"/>
      <c r="Q20" s="14" t="str">
        <f t="shared" si="0"/>
        <v>"_new_id_supportedyear_value_label": "support_request_year",</v>
      </c>
      <c r="R20" s="14" t="str">
        <f t="shared" si="1"/>
        <v>"support_request_year": "Int64",</v>
      </c>
    </row>
    <row r="21" spans="1:18" ht="15.75" customHeight="1" outlineLevel="1">
      <c r="A21" s="37" t="s">
        <v>708</v>
      </c>
      <c r="B21" s="34" t="s">
        <v>111</v>
      </c>
      <c r="C21" s="36"/>
      <c r="D21" s="34" t="s">
        <v>709</v>
      </c>
      <c r="E21" s="168" t="s">
        <v>312</v>
      </c>
      <c r="F21" s="169"/>
      <c r="G21" s="17" t="s">
        <v>689</v>
      </c>
      <c r="H21" s="17" t="s">
        <v>710</v>
      </c>
      <c r="I21" s="23"/>
      <c r="J21" s="41"/>
      <c r="K21" s="12"/>
      <c r="L21" s="12"/>
      <c r="M21" s="49"/>
      <c r="N21" s="42"/>
      <c r="O21" s="43"/>
      <c r="P21" s="13"/>
      <c r="Q21" s="14" t="str">
        <f t="shared" si="0"/>
        <v>"new_n_assessmentyear": "assessment_year",</v>
      </c>
      <c r="R21" s="14" t="str">
        <f t="shared" si="1"/>
        <v>"assessment_year": "Int64",</v>
      </c>
    </row>
    <row r="22" spans="1:18" ht="15.75" customHeight="1" outlineLevel="1">
      <c r="A22" s="37" t="s">
        <v>711</v>
      </c>
      <c r="B22" s="34" t="s">
        <v>217</v>
      </c>
      <c r="C22" s="36"/>
      <c r="D22" s="16" t="s">
        <v>712</v>
      </c>
      <c r="E22" s="168" t="s">
        <v>312</v>
      </c>
      <c r="F22" s="169"/>
      <c r="G22" s="17" t="s">
        <v>689</v>
      </c>
      <c r="H22" s="17" t="s">
        <v>713</v>
      </c>
      <c r="I22" s="23"/>
      <c r="J22" s="41"/>
      <c r="K22" s="12"/>
      <c r="L22" s="12"/>
      <c r="M22" s="49"/>
      <c r="N22" s="240"/>
      <c r="O22" s="241"/>
      <c r="P22" s="13"/>
      <c r="Q22" s="14" t="str">
        <f t="shared" si="0"/>
        <v>"new_i_totalprofessionalismscore": "professional_score",</v>
      </c>
      <c r="R22" s="14" t="str">
        <f t="shared" si="1"/>
        <v>"professional_score": "float64",</v>
      </c>
    </row>
    <row r="23" spans="1:18" ht="15.75" customHeight="1" outlineLevel="1">
      <c r="A23" s="37" t="s">
        <v>714</v>
      </c>
      <c r="B23" s="34" t="s">
        <v>217</v>
      </c>
      <c r="C23" s="36"/>
      <c r="D23" s="34" t="s">
        <v>715</v>
      </c>
      <c r="E23" s="168" t="s">
        <v>312</v>
      </c>
      <c r="F23" s="169"/>
      <c r="G23" s="17" t="s">
        <v>689</v>
      </c>
      <c r="H23" s="22" t="s">
        <v>716</v>
      </c>
      <c r="I23" s="23"/>
      <c r="J23" s="41"/>
      <c r="K23" s="12"/>
      <c r="L23" s="12"/>
      <c r="M23" s="49"/>
      <c r="N23" s="240"/>
      <c r="O23" s="241"/>
      <c r="P23" s="13"/>
      <c r="Q23" s="14" t="str">
        <f t="shared" si="0"/>
        <v>"new_i_totalscoreaccompanyempcoachesmaleassoc": "coach_association_score",</v>
      </c>
      <c r="R23" s="14" t="str">
        <f t="shared" si="1"/>
        <v>"coach_association_score": "float64",</v>
      </c>
    </row>
    <row r="24" spans="1:18" ht="15.75" customHeight="1" outlineLevel="1">
      <c r="A24" s="37" t="s">
        <v>717</v>
      </c>
      <c r="B24" s="34" t="s">
        <v>217</v>
      </c>
      <c r="C24" s="36"/>
      <c r="D24" s="16" t="s">
        <v>718</v>
      </c>
      <c r="E24" s="168" t="s">
        <v>312</v>
      </c>
      <c r="F24" s="169"/>
      <c r="G24" s="17" t="s">
        <v>689</v>
      </c>
      <c r="H24" s="22" t="s">
        <v>719</v>
      </c>
      <c r="I24" s="23"/>
      <c r="J24" s="41"/>
      <c r="K24" s="12"/>
      <c r="L24" s="12"/>
      <c r="M24" s="49"/>
      <c r="N24" s="240"/>
      <c r="O24" s="241"/>
      <c r="P24" s="13"/>
      <c r="Q24" s="14" t="str">
        <f t="shared" si="0"/>
        <v>"new_i_totalbranchcostscore": "branch_cost_score",</v>
      </c>
      <c r="R24" s="14" t="str">
        <f t="shared" si="1"/>
        <v>"branch_cost_score": "float64",</v>
      </c>
    </row>
    <row r="25" spans="1:18" ht="15.75" customHeight="1" outlineLevel="1">
      <c r="A25" s="37" t="s">
        <v>720</v>
      </c>
      <c r="B25" s="34" t="s">
        <v>217</v>
      </c>
      <c r="C25" s="36"/>
      <c r="D25" s="34" t="s">
        <v>721</v>
      </c>
      <c r="E25" s="168" t="s">
        <v>312</v>
      </c>
      <c r="F25" s="169"/>
      <c r="G25" s="17" t="s">
        <v>689</v>
      </c>
      <c r="H25" s="22" t="s">
        <v>722</v>
      </c>
      <c r="I25" s="23"/>
      <c r="J25" s="41"/>
      <c r="K25" s="12"/>
      <c r="L25" s="12"/>
      <c r="M25" s="49"/>
      <c r="N25" s="240"/>
      <c r="O25" s="241"/>
      <c r="P25" s="13"/>
      <c r="Q25" s="14" t="str">
        <f t="shared" si="0"/>
        <v>"new_i_totalwomenssportspromotionscore": "women_promotion_score",</v>
      </c>
      <c r="R25" s="14" t="str">
        <f>CONCATENATE($Q$2,A25,$R$2,B25,$Q$2,",")</f>
        <v>"women_promotion_score": "float64",</v>
      </c>
    </row>
    <row r="26" spans="1:18" ht="15.75" customHeight="1" outlineLevel="1">
      <c r="A26" s="37" t="s">
        <v>723</v>
      </c>
      <c r="B26" s="34" t="s">
        <v>217</v>
      </c>
      <c r="C26" s="36"/>
      <c r="D26" s="16" t="s">
        <v>724</v>
      </c>
      <c r="E26" s="168" t="s">
        <v>312</v>
      </c>
      <c r="F26" s="169"/>
      <c r="G26" s="17" t="s">
        <v>689</v>
      </c>
      <c r="H26" s="22" t="s">
        <v>725</v>
      </c>
      <c r="I26" s="23"/>
      <c r="J26" s="41"/>
      <c r="K26" s="12"/>
      <c r="L26" s="12"/>
      <c r="M26" s="49"/>
      <c r="N26" s="240"/>
      <c r="O26" s="241"/>
      <c r="P26" s="13"/>
      <c r="Q26" s="14" t="str">
        <f t="shared" si="0"/>
        <v>"new_d_totalcenterofexcellence": "excellent_center_score",</v>
      </c>
      <c r="R26" s="14" t="str">
        <f t="shared" si="1"/>
        <v>"excellent_center_score": "float64",</v>
      </c>
    </row>
    <row r="27" spans="1:18" ht="15.75" customHeight="1" outlineLevel="1">
      <c r="A27" s="37" t="s">
        <v>726</v>
      </c>
      <c r="B27" s="34" t="s">
        <v>217</v>
      </c>
      <c r="C27" s="36"/>
      <c r="D27" s="35" t="s">
        <v>727</v>
      </c>
      <c r="E27" s="168" t="s">
        <v>312</v>
      </c>
      <c r="F27" s="169"/>
      <c r="G27" s="17" t="s">
        <v>689</v>
      </c>
      <c r="H27" s="22" t="s">
        <v>728</v>
      </c>
      <c r="I27" s="23"/>
      <c r="J27" s="41"/>
      <c r="K27" s="12"/>
      <c r="L27" s="12"/>
      <c r="M27" s="45"/>
      <c r="N27" s="240"/>
      <c r="O27" s="241"/>
      <c r="P27" s="13"/>
      <c r="Q27" s="14" t="str">
        <f t="shared" si="0"/>
        <v>"new_i_totalachievementscore": "achievement_score",</v>
      </c>
      <c r="R27" s="14" t="str">
        <f t="shared" si="1"/>
        <v>"achievement_score": "float64",</v>
      </c>
    </row>
    <row r="28" spans="1:18" ht="15.75" customHeight="1" outlineLevel="1">
      <c r="A28" s="37" t="s">
        <v>729</v>
      </c>
      <c r="B28" s="34" t="s">
        <v>217</v>
      </c>
      <c r="C28" s="36"/>
      <c r="D28" s="35" t="s">
        <v>730</v>
      </c>
      <c r="E28" s="168" t="s">
        <v>312</v>
      </c>
      <c r="F28" s="169"/>
      <c r="G28" s="17" t="s">
        <v>689</v>
      </c>
      <c r="H28" s="22" t="s">
        <v>731</v>
      </c>
      <c r="I28" s="23"/>
      <c r="J28" s="41"/>
      <c r="K28" s="12"/>
      <c r="L28" s="12"/>
      <c r="M28" s="45"/>
      <c r="N28" s="42"/>
      <c r="O28" s="43"/>
      <c r="P28" s="13"/>
      <c r="Q28" s="14" t="str">
        <f t="shared" si="0"/>
        <v>"new_i_europehampionshipforteamtotalscoring": "europe_champ_score",</v>
      </c>
      <c r="R28" s="14" t="str">
        <f t="shared" si="1"/>
        <v>"europe_champ_score": "float64",</v>
      </c>
    </row>
    <row r="29" spans="1:18" ht="15.75" customHeight="1" outlineLevel="1">
      <c r="A29" s="37" t="s">
        <v>732</v>
      </c>
      <c r="B29" s="34" t="s">
        <v>217</v>
      </c>
      <c r="C29" s="36"/>
      <c r="D29" s="35" t="s">
        <v>733</v>
      </c>
      <c r="E29" s="168" t="s">
        <v>312</v>
      </c>
      <c r="F29" s="169"/>
      <c r="G29" s="17" t="s">
        <v>689</v>
      </c>
      <c r="H29" s="22" t="s">
        <v>734</v>
      </c>
      <c r="I29" s="23"/>
      <c r="J29" s="41"/>
      <c r="K29" s="12"/>
      <c r="L29" s="12"/>
      <c r="M29" s="45"/>
      <c r="N29" s="42"/>
      <c r="O29" s="43"/>
      <c r="P29" s="13"/>
      <c r="Q29" s="14" t="str">
        <f t="shared" si="0"/>
        <v>"new_i_facilityusagescore": "facility_usage_score",</v>
      </c>
      <c r="R29" s="14" t="str">
        <f t="shared" si="1"/>
        <v>"facility_usage_score": "float64",</v>
      </c>
    </row>
    <row r="30" spans="1:18" ht="15.75" customHeight="1" outlineLevel="1">
      <c r="A30" s="37" t="s">
        <v>635</v>
      </c>
      <c r="B30" s="34" t="s">
        <v>78</v>
      </c>
      <c r="C30" s="36"/>
      <c r="D30" s="16" t="s">
        <v>735</v>
      </c>
      <c r="E30" s="168" t="s">
        <v>312</v>
      </c>
      <c r="F30" s="169"/>
      <c r="G30" s="17" t="s">
        <v>689</v>
      </c>
      <c r="H30" s="22" t="s">
        <v>683</v>
      </c>
      <c r="I30" s="23"/>
      <c r="J30" s="41"/>
      <c r="K30" s="12"/>
      <c r="L30" s="12"/>
      <c r="M30" s="45"/>
      <c r="N30" s="42"/>
      <c r="O30" s="43"/>
      <c r="P30" s="13"/>
      <c r="Q30" s="14" t="str">
        <f t="shared" si="0"/>
        <v>"new_pl_meetsthresholdconditions_label": "is_pass_professional_condition",</v>
      </c>
      <c r="R30" s="14" t="str">
        <f t="shared" si="1"/>
        <v>"is_pass_professional_condition": "string",</v>
      </c>
    </row>
    <row r="31" spans="1:18" ht="15.75" customHeight="1" outlineLevel="1">
      <c r="A31" s="37" t="s">
        <v>632</v>
      </c>
      <c r="B31" s="34" t="s">
        <v>78</v>
      </c>
      <c r="C31" s="36"/>
      <c r="D31" s="34" t="s">
        <v>736</v>
      </c>
      <c r="E31" s="168" t="s">
        <v>312</v>
      </c>
      <c r="F31" s="169"/>
      <c r="G31" s="17" t="s">
        <v>689</v>
      </c>
      <c r="H31" s="22" t="s">
        <v>737</v>
      </c>
      <c r="I31" s="23"/>
      <c r="J31" s="41"/>
      <c r="K31" s="12"/>
      <c r="L31" s="12"/>
      <c r="M31" s="45"/>
      <c r="N31" s="42"/>
      <c r="O31" s="43"/>
      <c r="P31" s="13"/>
      <c r="Q31" s="14" t="str">
        <f t="shared" si="0"/>
        <v>"new_pl_meetsadministrativethresholdconditions_label": "is_pass_admin_condition",</v>
      </c>
      <c r="R31" s="14" t="str">
        <f t="shared" si="1"/>
        <v>"is_pass_admin_condition": "string",</v>
      </c>
    </row>
    <row r="32" spans="1:18" ht="15.75" customHeight="1" outlineLevel="1">
      <c r="A32" s="37" t="s">
        <v>638</v>
      </c>
      <c r="B32" s="34" t="s">
        <v>78</v>
      </c>
      <c r="C32" s="36"/>
      <c r="D32" s="67" t="s">
        <v>738</v>
      </c>
      <c r="E32" s="168" t="s">
        <v>312</v>
      </c>
      <c r="F32" s="169"/>
      <c r="G32" s="17" t="s">
        <v>689</v>
      </c>
      <c r="H32" s="133" t="s">
        <v>739</v>
      </c>
      <c r="I32" s="23"/>
      <c r="J32" s="41"/>
      <c r="K32" s="12"/>
      <c r="L32" s="12"/>
      <c r="M32" s="45"/>
      <c r="N32" s="42"/>
      <c r="O32" s="43"/>
      <c r="P32" s="13"/>
      <c r="Q32" s="14" t="str">
        <f t="shared" si="0"/>
        <v>"new_pl_thresholdconditionstatus_label": "is_pass_threshold_condition",</v>
      </c>
      <c r="R32" s="14" t="str">
        <f t="shared" si="1"/>
        <v>"is_pass_threshold_condition": "string",</v>
      </c>
    </row>
    <row r="33" spans="1:18" ht="15.75" customHeight="1" outlineLevel="1">
      <c r="A33" s="37" t="s">
        <v>740</v>
      </c>
      <c r="B33" s="34" t="s">
        <v>111</v>
      </c>
      <c r="C33" s="36"/>
      <c r="D33" s="35" t="s">
        <v>741</v>
      </c>
      <c r="E33" s="168" t="s">
        <v>312</v>
      </c>
      <c r="F33" s="169"/>
      <c r="G33" s="17" t="s">
        <v>689</v>
      </c>
      <c r="H33" s="22" t="s">
        <v>742</v>
      </c>
      <c r="I33" s="23"/>
      <c r="J33" s="41"/>
      <c r="K33" s="12"/>
      <c r="L33" s="12"/>
      <c r="M33" s="45"/>
      <c r="N33" s="42"/>
      <c r="O33" s="43"/>
      <c r="P33" s="13"/>
      <c r="Q33" s="14" t="str">
        <f t="shared" si="0"/>
        <v>"new_pl_scoring_threshold": "is_pass_threshold_condition_to_score",</v>
      </c>
      <c r="R33" s="14" t="str">
        <f t="shared" si="1"/>
        <v>"is_pass_threshold_condition_to_score": "Int64",</v>
      </c>
    </row>
    <row r="34" spans="1:18" ht="15.75" customHeight="1" outlineLevel="1">
      <c r="A34" s="56" t="s">
        <v>335</v>
      </c>
      <c r="B34" s="57" t="s">
        <v>111</v>
      </c>
      <c r="C34" s="58"/>
      <c r="D34" s="134" t="s">
        <v>336</v>
      </c>
      <c r="E34" s="168" t="s">
        <v>312</v>
      </c>
      <c r="F34" s="169"/>
      <c r="G34" s="17" t="s">
        <v>689</v>
      </c>
      <c r="H34" s="61" t="s">
        <v>337</v>
      </c>
      <c r="I34" s="23"/>
      <c r="J34" s="41"/>
      <c r="K34" s="12"/>
      <c r="L34" s="12"/>
      <c r="M34" s="45"/>
      <c r="N34" s="42"/>
      <c r="O34" s="43"/>
      <c r="P34" s="13"/>
      <c r="Q34" s="14" t="str">
        <f t="shared" si="0"/>
        <v>"statecode": "is_inactive",</v>
      </c>
      <c r="R34" s="14" t="str">
        <f t="shared" si="1"/>
        <v>"is_inactive": "Int64",</v>
      </c>
    </row>
    <row r="35" spans="1:18" ht="15.75" customHeight="1" outlineLevel="1">
      <c r="A35" s="56" t="s">
        <v>338</v>
      </c>
      <c r="B35" s="59" t="s">
        <v>111</v>
      </c>
      <c r="C35" s="60"/>
      <c r="D35" s="135" t="s">
        <v>340</v>
      </c>
      <c r="E35" s="168" t="s">
        <v>312</v>
      </c>
      <c r="F35" s="169"/>
      <c r="G35" s="17" t="s">
        <v>689</v>
      </c>
      <c r="H35" s="62" t="s">
        <v>341</v>
      </c>
      <c r="I35" s="23"/>
      <c r="J35" s="41"/>
      <c r="K35" s="12"/>
      <c r="L35" s="12"/>
      <c r="M35" s="45"/>
      <c r="N35" s="42"/>
      <c r="O35" s="43"/>
      <c r="P35" s="13"/>
      <c r="Q35" s="14" t="str">
        <f t="shared" si="0"/>
        <v>"statuscode": "status_code",</v>
      </c>
      <c r="R35" s="14" t="str">
        <f t="shared" si="1"/>
        <v>"status_code": "Int64",</v>
      </c>
    </row>
    <row r="36" spans="1:18" ht="15.75" customHeight="1" outlineLevel="1">
      <c r="A36" s="56" t="s">
        <v>342</v>
      </c>
      <c r="B36" s="59" t="s">
        <v>239</v>
      </c>
      <c r="C36" s="60"/>
      <c r="D36" s="135" t="s">
        <v>343</v>
      </c>
      <c r="E36" s="168" t="s">
        <v>312</v>
      </c>
      <c r="F36" s="169"/>
      <c r="G36" s="17" t="s">
        <v>689</v>
      </c>
      <c r="H36" s="63" t="s">
        <v>344</v>
      </c>
      <c r="I36" s="23"/>
      <c r="J36" s="41"/>
      <c r="K36" s="12"/>
      <c r="L36" s="12"/>
      <c r="M36" s="45"/>
      <c r="N36" s="42"/>
      <c r="O36" s="43"/>
      <c r="P36" s="13"/>
      <c r="Q36" s="14" t="str">
        <f t="shared" si="0"/>
        <v>"modifiedon": "modified_on_date",</v>
      </c>
      <c r="R36" s="14" t="str">
        <f t="shared" si="1"/>
        <v>"modified_on_date": "datetime",</v>
      </c>
    </row>
    <row r="37" spans="1:18" ht="15.75" customHeight="1" outlineLevel="1">
      <c r="A37" s="37"/>
      <c r="B37" s="34"/>
      <c r="C37" s="36"/>
      <c r="D37" s="35"/>
      <c r="E37" s="168"/>
      <c r="F37" s="169"/>
      <c r="G37" s="17"/>
      <c r="H37" s="22"/>
      <c r="I37" s="23"/>
      <c r="J37" s="41"/>
      <c r="K37" s="12"/>
      <c r="L37" s="12"/>
      <c r="M37" s="45"/>
      <c r="N37" s="42"/>
      <c r="O37" s="43"/>
      <c r="P37" s="13"/>
      <c r="Q37" s="14" t="str">
        <f t="shared" ref="Q37:Q38" si="2">CONCATENATE($Q$2,H37,$R$2,A37,$Q$2,",")</f>
        <v>"": "",</v>
      </c>
      <c r="R37" s="14" t="str">
        <f t="shared" si="1"/>
        <v>"": "",</v>
      </c>
    </row>
    <row r="38" spans="1:18" ht="15.75" customHeight="1" outlineLevel="1">
      <c r="A38" s="37"/>
      <c r="B38" s="34"/>
      <c r="C38" s="36"/>
      <c r="D38" s="35"/>
      <c r="E38" s="168"/>
      <c r="F38" s="169"/>
      <c r="G38" s="17"/>
      <c r="H38" s="22"/>
      <c r="I38" s="23"/>
      <c r="J38" s="41"/>
      <c r="K38" s="12"/>
      <c r="L38" s="12"/>
      <c r="M38" s="45"/>
      <c r="N38" s="42"/>
      <c r="O38" s="43"/>
      <c r="P38" s="13"/>
      <c r="Q38" s="14" t="str">
        <f t="shared" si="2"/>
        <v>"": "",</v>
      </c>
      <c r="R38" s="14" t="str">
        <f t="shared" si="1"/>
        <v>"": "",</v>
      </c>
    </row>
    <row r="39" spans="1:18" ht="15.75" customHeight="1" outlineLevel="1">
      <c r="A39" s="38" t="s">
        <v>64</v>
      </c>
      <c r="B39" s="39"/>
      <c r="C39" s="40"/>
      <c r="D39" s="9"/>
      <c r="E39" s="168"/>
      <c r="F39" s="169"/>
      <c r="G39" s="17"/>
      <c r="H39" s="25"/>
      <c r="I39" s="24"/>
      <c r="J39" s="51"/>
      <c r="K39" s="3"/>
      <c r="L39" s="3"/>
      <c r="M39" s="49"/>
      <c r="N39" s="242"/>
      <c r="O39" s="243"/>
      <c r="P39" s="4"/>
      <c r="Q39" s="14" t="str">
        <f t="shared" ref="Q39" si="3">CONCATENATE($Q$2,H39,$R$2,A39,$Q$2,",")</f>
        <v>"": "Leave Empty",</v>
      </c>
      <c r="R39" s="14" t="str">
        <f t="shared" si="1"/>
        <v>"Leave Empty": "",</v>
      </c>
    </row>
    <row r="40" spans="1:18" ht="15.75" customHeight="1">
      <c r="E40" s="170"/>
      <c r="F40" s="146"/>
      <c r="G40" s="171"/>
      <c r="H40" s="155"/>
      <c r="I40" s="26"/>
      <c r="N40" s="226"/>
      <c r="O40" s="226"/>
    </row>
    <row r="41" spans="1:18" ht="15.75" customHeight="1"/>
    <row r="42" spans="1:18" ht="15.75" customHeight="1"/>
    <row r="43" spans="1:18" ht="15.75" customHeight="1"/>
    <row r="44" spans="1:18" ht="15.75" customHeight="1"/>
    <row r="45" spans="1:18" ht="15.75" customHeight="1"/>
    <row r="46" spans="1:18" ht="15.75" customHeight="1"/>
    <row r="47" spans="1:18" ht="15.75" customHeight="1"/>
    <row r="48" spans="1:1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</sheetData>
  <autoFilter ref="A8:P39" xr:uid="{00000000-0009-0000-0000-000000000000}"/>
  <mergeCells count="69">
    <mergeCell ref="E38:F38"/>
    <mergeCell ref="E37:F37"/>
    <mergeCell ref="E35:F35"/>
    <mergeCell ref="R2:R5"/>
    <mergeCell ref="E24:F24"/>
    <mergeCell ref="N24:O24"/>
    <mergeCell ref="E25:F25"/>
    <mergeCell ref="N25:O25"/>
    <mergeCell ref="E22:F22"/>
    <mergeCell ref="E20:F20"/>
    <mergeCell ref="N20:O20"/>
    <mergeCell ref="E17:F17"/>
    <mergeCell ref="N17:O17"/>
    <mergeCell ref="E19:F19"/>
    <mergeCell ref="N19:O19"/>
    <mergeCell ref="N22:O22"/>
    <mergeCell ref="E39:F39"/>
    <mergeCell ref="N39:O39"/>
    <mergeCell ref="E40:F40"/>
    <mergeCell ref="G40:H40"/>
    <mergeCell ref="N40:O40"/>
    <mergeCell ref="E36:F36"/>
    <mergeCell ref="E21:F21"/>
    <mergeCell ref="E26:F26"/>
    <mergeCell ref="N26:O26"/>
    <mergeCell ref="E31:F31"/>
    <mergeCell ref="N27:O27"/>
    <mergeCell ref="E27:F27"/>
    <mergeCell ref="E28:F28"/>
    <mergeCell ref="E29:F29"/>
    <mergeCell ref="E30:F30"/>
    <mergeCell ref="E32:F32"/>
    <mergeCell ref="E33:F33"/>
    <mergeCell ref="E34:F34"/>
    <mergeCell ref="E23:F23"/>
    <mergeCell ref="N23:O23"/>
    <mergeCell ref="N9:O9"/>
    <mergeCell ref="E12:F12"/>
    <mergeCell ref="N12:O12"/>
    <mergeCell ref="E11:F11"/>
    <mergeCell ref="E10:F10"/>
    <mergeCell ref="E9:F9"/>
    <mergeCell ref="E13:F13"/>
    <mergeCell ref="E14:F14"/>
    <mergeCell ref="E15:F15"/>
    <mergeCell ref="E16:F16"/>
    <mergeCell ref="E18:F18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C3:C5"/>
    <mergeCell ref="D3:D5"/>
    <mergeCell ref="F3:G3"/>
    <mergeCell ref="F4:G4"/>
    <mergeCell ref="F5:G5"/>
  </mergeCells>
  <phoneticPr fontId="14" type="noConversion"/>
  <conditionalFormatting sqref="A10:A26">
    <cfRule type="expression" dxfId="37" priority="1">
      <formula>M10 = "On Hold"</formula>
    </cfRule>
  </conditionalFormatting>
  <conditionalFormatting sqref="A27">
    <cfRule type="expression" dxfId="36" priority="28">
      <formula>M28 = "On Hold"</formula>
    </cfRule>
  </conditionalFormatting>
  <conditionalFormatting sqref="A28:A30">
    <cfRule type="expression" dxfId="35" priority="17">
      <formula>M30 = "On Hold"</formula>
    </cfRule>
  </conditionalFormatting>
  <conditionalFormatting sqref="A31">
    <cfRule type="expression" dxfId="34" priority="19">
      <formula>M27 = "On Hold"</formula>
    </cfRule>
  </conditionalFormatting>
  <conditionalFormatting sqref="A32:A33 A37:A39">
    <cfRule type="expression" dxfId="33" priority="8">
      <formula>M32 = "On Hold"</formula>
    </cfRule>
  </conditionalFormatting>
  <conditionalFormatting sqref="B2:B5 J9:P39">
    <cfRule type="cellIs" dxfId="32" priority="9" operator="equal">
      <formula>"Done"</formula>
    </cfRule>
    <cfRule type="cellIs" dxfId="31" priority="10" operator="equal">
      <formula>"On Hold"</formula>
    </cfRule>
    <cfRule type="cellIs" dxfId="30" priority="12" operator="equal">
      <formula>"Ready for Review"</formula>
    </cfRule>
    <cfRule type="cellIs" dxfId="29" priority="13" operator="equal">
      <formula>"In Review"</formula>
    </cfRule>
  </conditionalFormatting>
  <dataValidations count="7">
    <dataValidation type="list" allowBlank="1" sqref="B3 M9:M39" xr:uid="{ED5AB26E-299C-421B-B9E4-1BEEDEF53134}">
      <formula1>Statuses</formula1>
    </dataValidation>
    <dataValidation type="list" allowBlank="1" sqref="B4:B5" xr:uid="{B32E1B9F-F3C2-4666-A310-6A2F5E78346A}">
      <formula1>ETL_Statuses</formula1>
    </dataValidation>
    <dataValidation type="list" allowBlank="1" showErrorMessage="1" sqref="B2" xr:uid="{7E1F6F8E-78C0-4B77-8526-53BC7DD16B6B}">
      <formula1>STT_Statuses</formula1>
    </dataValidation>
    <dataValidation type="list" allowBlank="1" sqref="B37:B39 B9:B33" xr:uid="{7FA6478C-3008-4E1A-8C09-D4CB91DBAED8}">
      <formula1>Data_Types</formula1>
    </dataValidation>
    <dataValidation type="list" allowBlank="1" sqref="E9:E39" xr:uid="{D69072B1-8356-4B10-8E1F-05641CA2D8D5}">
      <formula1>Sources</formula1>
    </dataValidation>
    <dataValidation type="list" allowBlank="1" sqref="P9:P39" xr:uid="{66F1623F-37EE-4118-B8BB-020C210D57B8}">
      <formula1>Versions</formula1>
    </dataValidation>
    <dataValidation type="list" allowBlank="1" sqref="N9:N39" xr:uid="{718B4B8D-02AC-4972-9C4A-4E56853FCE24}">
      <formula1>Categories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5FF4-8520-4A29-85B0-410EEA47AA59}">
  <sheetPr>
    <tabColor rgb="FF00B050"/>
    <outlinePr summaryBelow="0" summaryRight="0"/>
  </sheetPr>
  <dimension ref="A1:R160"/>
  <sheetViews>
    <sheetView workbookViewId="0">
      <pane xSplit="1" ySplit="8" topLeftCell="B20" activePane="bottomRight" state="frozen"/>
      <selection pane="bottomRight" activeCell="H29" sqref="H29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743</v>
      </c>
      <c r="E3" s="148"/>
      <c r="F3" s="150"/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64" t="s">
        <v>744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509</v>
      </c>
      <c r="B9" s="34" t="s">
        <v>78</v>
      </c>
      <c r="C9" s="36" t="e" vm="1">
        <v>#VALUE!</v>
      </c>
      <c r="D9" s="34" t="s">
        <v>510</v>
      </c>
      <c r="E9" s="168" t="s">
        <v>312</v>
      </c>
      <c r="F9" s="169"/>
      <c r="G9" s="17" t="s">
        <v>744</v>
      </c>
      <c r="H9" s="23" t="s">
        <v>745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"new_athletesinsupportingrequestid": "athlete_support_request_code",</v>
      </c>
      <c r="R9" s="14" t="str">
        <f>CONCATENATE($Q$2,A9,$R$2,B9,$Q$2,",")</f>
        <v>"athlete_support_request_code": "string",</v>
      </c>
    </row>
    <row r="10" spans="1:18" ht="15.75" customHeight="1" outlineLevel="1">
      <c r="A10" s="56" t="s">
        <v>449</v>
      </c>
      <c r="B10" s="34" t="s">
        <v>78</v>
      </c>
      <c r="C10" s="36"/>
      <c r="D10" s="16" t="s">
        <v>616</v>
      </c>
      <c r="E10" s="168" t="s">
        <v>312</v>
      </c>
      <c r="F10" s="169"/>
      <c r="G10" s="17" t="s">
        <v>744</v>
      </c>
      <c r="H10" s="23" t="s">
        <v>451</v>
      </c>
      <c r="I10" s="23"/>
      <c r="J10" s="41"/>
      <c r="K10" s="12"/>
      <c r="L10" s="12"/>
      <c r="M10" s="49"/>
      <c r="N10" s="240"/>
      <c r="O10" s="241"/>
      <c r="P10" s="13"/>
      <c r="Q10" s="14" t="str">
        <f t="shared" ref="Q10:Q31" si="0">CONCATENATE($Q$2,H10,$R$2,A10,$Q$2,",")</f>
        <v>"_new_id_supportrequest_value": "support_request_code",</v>
      </c>
      <c r="R10" s="14" t="str">
        <f t="shared" ref="R10:R31" si="1">CONCATENATE($Q$2,A10,$R$2,B10,$Q$2,",")</f>
        <v>"support_request_code": "string",</v>
      </c>
    </row>
    <row r="11" spans="1:18" ht="15.75" customHeight="1" outlineLevel="1">
      <c r="A11" s="37" t="s">
        <v>746</v>
      </c>
      <c r="B11" s="34" t="s">
        <v>78</v>
      </c>
      <c r="C11" s="36"/>
      <c r="D11" s="34" t="s">
        <v>747</v>
      </c>
      <c r="E11" s="168" t="s">
        <v>312</v>
      </c>
      <c r="F11" s="169"/>
      <c r="G11" s="17" t="s">
        <v>744</v>
      </c>
      <c r="H11" s="23" t="s">
        <v>748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"_new_id_athlete_value": "athlete_code",</v>
      </c>
      <c r="R11" s="14" t="str">
        <f t="shared" si="1"/>
        <v>"athlete_code": "string",</v>
      </c>
    </row>
    <row r="12" spans="1:18" ht="15.75" customHeight="1" outlineLevel="1">
      <c r="A12" s="37" t="s">
        <v>56</v>
      </c>
      <c r="B12" s="34" t="s">
        <v>111</v>
      </c>
      <c r="C12" s="36"/>
      <c r="D12" s="34" t="s">
        <v>669</v>
      </c>
      <c r="E12" s="168" t="s">
        <v>312</v>
      </c>
      <c r="F12" s="169"/>
      <c r="G12" s="17" t="s">
        <v>744</v>
      </c>
      <c r="H12" s="23" t="s">
        <v>348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"new_t_societynumber": "society_id",</v>
      </c>
      <c r="R12" s="14" t="str">
        <f t="shared" si="1"/>
        <v>"society_id": "Int64",</v>
      </c>
    </row>
    <row r="13" spans="1:18" ht="15.75" customHeight="1" outlineLevel="1">
      <c r="A13" s="37" t="s">
        <v>60</v>
      </c>
      <c r="B13" s="34" t="s">
        <v>111</v>
      </c>
      <c r="C13" s="36"/>
      <c r="D13" s="34" t="s">
        <v>670</v>
      </c>
      <c r="E13" s="168" t="s">
        <v>312</v>
      </c>
      <c r="F13" s="169"/>
      <c r="G13" s="17" t="s">
        <v>744</v>
      </c>
      <c r="H13" s="23" t="s">
        <v>671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"new_i_teamnumber": "team_number",</v>
      </c>
      <c r="R13" s="14" t="str">
        <f t="shared" si="1"/>
        <v>"team_number": "Int64",</v>
      </c>
    </row>
    <row r="14" spans="1:18" ht="15.75" customHeight="1" outlineLevel="1">
      <c r="A14" s="37" t="s">
        <v>749</v>
      </c>
      <c r="B14" s="34" t="s">
        <v>78</v>
      </c>
      <c r="C14" s="36"/>
      <c r="D14" s="16" t="s">
        <v>750</v>
      </c>
      <c r="E14" s="168" t="s">
        <v>312</v>
      </c>
      <c r="F14" s="169"/>
      <c r="G14" s="17" t="s">
        <v>744</v>
      </c>
      <c r="H14" s="23" t="s">
        <v>448</v>
      </c>
      <c r="I14" s="23"/>
      <c r="J14" s="41"/>
      <c r="K14" s="12"/>
      <c r="L14" s="12"/>
      <c r="M14" s="49"/>
      <c r="N14" s="240"/>
      <c r="O14" s="241"/>
      <c r="P14" s="13"/>
      <c r="Q14" s="14" t="str">
        <f t="shared" si="0"/>
        <v>"new_pl_sex_label": "athlete_gender",</v>
      </c>
      <c r="R14" s="14" t="str">
        <f t="shared" si="1"/>
        <v>"athlete_gender": "string",</v>
      </c>
    </row>
    <row r="15" spans="1:18" ht="15.75" customHeight="1" outlineLevel="1">
      <c r="A15" s="37" t="s">
        <v>751</v>
      </c>
      <c r="B15" s="34" t="s">
        <v>217</v>
      </c>
      <c r="C15" s="36"/>
      <c r="D15" s="16" t="s">
        <v>752</v>
      </c>
      <c r="E15" s="168" t="s">
        <v>312</v>
      </c>
      <c r="F15" s="169"/>
      <c r="G15" s="17" t="s">
        <v>744</v>
      </c>
      <c r="H15" s="23" t="s">
        <v>753</v>
      </c>
      <c r="I15" s="23"/>
      <c r="J15" s="41"/>
      <c r="K15" s="12"/>
      <c r="L15" s="12"/>
      <c r="M15" s="49"/>
      <c r="N15" s="42"/>
      <c r="O15" s="43"/>
      <c r="P15" s="13"/>
      <c r="Q15" s="14" t="str">
        <f t="shared" si="0"/>
        <v>"new_i_finalscoreforathlete": "athlete_final_score",</v>
      </c>
      <c r="R15" s="14" t="str">
        <f t="shared" si="1"/>
        <v>"athlete_final_score": "float64",</v>
      </c>
    </row>
    <row r="16" spans="1:18" ht="15.75" customHeight="1" outlineLevel="1">
      <c r="A16" s="37" t="s">
        <v>649</v>
      </c>
      <c r="B16" s="34" t="s">
        <v>78</v>
      </c>
      <c r="C16" s="36"/>
      <c r="D16" s="16" t="s">
        <v>754</v>
      </c>
      <c r="E16" s="168" t="s">
        <v>312</v>
      </c>
      <c r="F16" s="169"/>
      <c r="G16" s="17" t="s">
        <v>744</v>
      </c>
      <c r="H16" s="23" t="s">
        <v>755</v>
      </c>
      <c r="I16" s="23"/>
      <c r="J16" s="41"/>
      <c r="K16" s="12"/>
      <c r="L16" s="12"/>
      <c r="M16" s="49"/>
      <c r="N16" s="42"/>
      <c r="O16" s="43"/>
      <c r="P16" s="13"/>
      <c r="Q16" s="14" t="str">
        <f t="shared" si="0"/>
        <v>"_new_id_team_value": "team_code",</v>
      </c>
      <c r="R16" s="14" t="str">
        <f t="shared" si="1"/>
        <v>"team_code": "string",</v>
      </c>
    </row>
    <row r="17" spans="1:18" ht="15.75" customHeight="1" outlineLevel="1">
      <c r="A17" s="37" t="s">
        <v>756</v>
      </c>
      <c r="B17" s="34" t="s">
        <v>111</v>
      </c>
      <c r="C17" s="36"/>
      <c r="D17" s="16" t="s">
        <v>757</v>
      </c>
      <c r="E17" s="168" t="s">
        <v>312</v>
      </c>
      <c r="F17" s="169"/>
      <c r="G17" s="17" t="s">
        <v>744</v>
      </c>
      <c r="H17" s="23" t="s">
        <v>758</v>
      </c>
      <c r="I17" s="23"/>
      <c r="J17" s="41"/>
      <c r="K17" s="12"/>
      <c r="L17" s="12"/>
      <c r="M17" s="49"/>
      <c r="N17" s="42"/>
      <c r="O17" s="43"/>
      <c r="P17" s="13"/>
      <c r="Q17" s="14" t="str">
        <f t="shared" si="0"/>
        <v>"new_i_birthyear": "birth_year",</v>
      </c>
      <c r="R17" s="14" t="str">
        <f t="shared" si="1"/>
        <v>"birth_year": "Int64",</v>
      </c>
    </row>
    <row r="18" spans="1:18" ht="15.75" customHeight="1" outlineLevel="1">
      <c r="A18" s="118" t="s">
        <v>759</v>
      </c>
      <c r="B18" s="119" t="s">
        <v>111</v>
      </c>
      <c r="C18" s="120"/>
      <c r="D18" s="119" t="s">
        <v>760</v>
      </c>
      <c r="E18" s="220" t="s">
        <v>312</v>
      </c>
      <c r="F18" s="221"/>
      <c r="G18" s="121" t="s">
        <v>744</v>
      </c>
      <c r="H18" s="122" t="s">
        <v>761</v>
      </c>
      <c r="I18" s="23"/>
      <c r="J18" s="41"/>
      <c r="K18" s="12"/>
      <c r="L18" s="12"/>
      <c r="M18" s="49"/>
      <c r="N18" s="42"/>
      <c r="O18" s="43"/>
      <c r="P18" s="13"/>
      <c r="Q18" s="14" t="str">
        <f t="shared" si="0"/>
        <v>"new_t_identificationnumber": "athlete_id",</v>
      </c>
      <c r="R18" s="14" t="str">
        <f t="shared" si="1"/>
        <v>"athlete_id": "Int64",</v>
      </c>
    </row>
    <row r="19" spans="1:18" ht="15.75" customHeight="1" outlineLevel="1">
      <c r="A19" s="37" t="s">
        <v>762</v>
      </c>
      <c r="B19" s="34" t="s">
        <v>78</v>
      </c>
      <c r="C19" s="36"/>
      <c r="D19" s="16" t="s">
        <v>442</v>
      </c>
      <c r="E19" s="168" t="s">
        <v>312</v>
      </c>
      <c r="F19" s="169"/>
      <c r="G19" s="17" t="s">
        <v>744</v>
      </c>
      <c r="H19" s="23" t="s">
        <v>763</v>
      </c>
      <c r="I19" s="23"/>
      <c r="J19" s="41"/>
      <c r="K19" s="12"/>
      <c r="L19" s="12"/>
      <c r="M19" s="49"/>
      <c r="N19" s="42"/>
      <c r="O19" s="43"/>
      <c r="P19" s="13"/>
      <c r="Q19" s="14" t="str">
        <f t="shared" si="0"/>
        <v>"new_t_firstname": "athlete_support_first_name",</v>
      </c>
      <c r="R19" s="14" t="str">
        <f t="shared" si="1"/>
        <v>"athlete_support_first_name": "string",</v>
      </c>
    </row>
    <row r="20" spans="1:18" ht="15.75" customHeight="1" outlineLevel="1">
      <c r="A20" s="37" t="s">
        <v>764</v>
      </c>
      <c r="B20" s="34" t="s">
        <v>78</v>
      </c>
      <c r="C20" s="36"/>
      <c r="D20" s="16" t="s">
        <v>445</v>
      </c>
      <c r="E20" s="168" t="s">
        <v>312</v>
      </c>
      <c r="F20" s="169"/>
      <c r="G20" s="17" t="s">
        <v>744</v>
      </c>
      <c r="H20" s="23" t="s">
        <v>765</v>
      </c>
      <c r="I20" s="23"/>
      <c r="J20" s="41"/>
      <c r="K20" s="12"/>
      <c r="L20" s="12"/>
      <c r="M20" s="49"/>
      <c r="N20" s="42"/>
      <c r="O20" s="43"/>
      <c r="P20" s="13"/>
      <c r="Q20" s="14" t="str">
        <f t="shared" si="0"/>
        <v>"new_lastname": "athlete_support_last_name",</v>
      </c>
      <c r="R20" s="14" t="str">
        <f t="shared" si="1"/>
        <v>"athlete_support_last_name": "string",</v>
      </c>
    </row>
    <row r="21" spans="1:18" ht="15.75" customHeight="1" outlineLevel="1">
      <c r="A21" s="37" t="s">
        <v>766</v>
      </c>
      <c r="B21" s="34" t="s">
        <v>78</v>
      </c>
      <c r="C21" s="36"/>
      <c r="D21" s="16" t="s">
        <v>767</v>
      </c>
      <c r="E21" s="168" t="s">
        <v>312</v>
      </c>
      <c r="F21" s="169"/>
      <c r="G21" s="17" t="s">
        <v>744</v>
      </c>
      <c r="H21" s="23" t="s">
        <v>768</v>
      </c>
      <c r="I21" s="23"/>
      <c r="J21" s="41"/>
      <c r="K21" s="12"/>
      <c r="L21" s="12"/>
      <c r="M21" s="49"/>
      <c r="N21" s="240"/>
      <c r="O21" s="241"/>
      <c r="P21" s="13"/>
      <c r="Q21" s="14" t="str">
        <f t="shared" si="0"/>
        <v>"_new_id_athlete_value_label": "athlete_support_full_name",</v>
      </c>
      <c r="R21" s="14" t="str">
        <f t="shared" si="1"/>
        <v>"athlete_support_full_name": "string",</v>
      </c>
    </row>
    <row r="22" spans="1:18" ht="15.75" customHeight="1" outlineLevel="1">
      <c r="A22" s="37" t="s">
        <v>459</v>
      </c>
      <c r="B22" s="34" t="s">
        <v>78</v>
      </c>
      <c r="C22" s="36"/>
      <c r="D22" s="34" t="s">
        <v>460</v>
      </c>
      <c r="E22" s="168" t="s">
        <v>312</v>
      </c>
      <c r="F22" s="169"/>
      <c r="G22" s="17" t="s">
        <v>744</v>
      </c>
      <c r="H22" s="23" t="s">
        <v>461</v>
      </c>
      <c r="I22" s="23"/>
      <c r="J22" s="41"/>
      <c r="K22" s="12"/>
      <c r="L22" s="12"/>
      <c r="M22" s="49"/>
      <c r="N22" s="240"/>
      <c r="O22" s="241"/>
      <c r="P22" s="13"/>
      <c r="Q22" s="14" t="str">
        <f t="shared" si="0"/>
        <v>"new_id_type_label": "identification_type",</v>
      </c>
      <c r="R22" s="14" t="str">
        <f t="shared" si="1"/>
        <v>"identification_type": "string",</v>
      </c>
    </row>
    <row r="23" spans="1:18" ht="15.75" customHeight="1" outlineLevel="1">
      <c r="A23" s="37" t="s">
        <v>769</v>
      </c>
      <c r="B23" s="65" t="s">
        <v>78</v>
      </c>
      <c r="C23" s="66"/>
      <c r="D23" s="65" t="s">
        <v>770</v>
      </c>
      <c r="E23" s="168" t="s">
        <v>312</v>
      </c>
      <c r="F23" s="169"/>
      <c r="G23" s="17" t="s">
        <v>744</v>
      </c>
      <c r="H23" s="23" t="s">
        <v>771</v>
      </c>
      <c r="I23" s="23"/>
      <c r="J23" s="41"/>
      <c r="K23" s="12"/>
      <c r="L23" s="12"/>
      <c r="M23" s="49"/>
      <c r="N23" s="42"/>
      <c r="O23" s="43"/>
      <c r="P23" s="13"/>
      <c r="Q23" s="14" t="str">
        <f t="shared" si="0"/>
        <v>"_new_id_athleteage_value_label": "athlete_age_category",</v>
      </c>
      <c r="R23" s="14" t="str">
        <f t="shared" si="1"/>
        <v>"athlete_age_category": "string",</v>
      </c>
    </row>
    <row r="24" spans="1:18" ht="15.75" customHeight="1" outlineLevel="1">
      <c r="A24" s="37" t="s">
        <v>772</v>
      </c>
      <c r="B24" s="65" t="s">
        <v>78</v>
      </c>
      <c r="C24" s="66"/>
      <c r="D24" s="65" t="s">
        <v>773</v>
      </c>
      <c r="E24" s="168" t="s">
        <v>312</v>
      </c>
      <c r="F24" s="169"/>
      <c r="G24" s="17" t="s">
        <v>744</v>
      </c>
      <c r="H24" s="23" t="s">
        <v>774</v>
      </c>
      <c r="I24" s="23"/>
      <c r="J24" s="41"/>
      <c r="K24" s="12"/>
      <c r="L24" s="12"/>
      <c r="M24" s="49"/>
      <c r="N24" s="42"/>
      <c r="O24" s="43"/>
      <c r="P24" s="13"/>
      <c r="Q24" s="14" t="str">
        <f t="shared" si="0"/>
        <v>"new_pl_insurance_label": "athlete_has_insurance",</v>
      </c>
      <c r="R24" s="14" t="str">
        <f t="shared" si="1"/>
        <v>"athlete_has_insurance": "string",</v>
      </c>
    </row>
    <row r="25" spans="1:18" ht="15.75" customHeight="1" outlineLevel="1">
      <c r="A25" s="37" t="s">
        <v>775</v>
      </c>
      <c r="B25" s="65" t="s">
        <v>78</v>
      </c>
      <c r="C25" s="66"/>
      <c r="D25" s="65" t="s">
        <v>776</v>
      </c>
      <c r="E25" s="168" t="s">
        <v>312</v>
      </c>
      <c r="F25" s="169"/>
      <c r="G25" s="17" t="s">
        <v>744</v>
      </c>
      <c r="H25" s="23" t="s">
        <v>777</v>
      </c>
      <c r="I25" s="23"/>
      <c r="J25" s="41"/>
      <c r="K25" s="12"/>
      <c r="L25" s="12"/>
      <c r="M25" s="49"/>
      <c r="N25" s="42"/>
      <c r="O25" s="43"/>
      <c r="P25" s="13"/>
      <c r="Q25" s="14" t="str">
        <f t="shared" si="0"/>
        <v>"new_pl_medicalexamination_label": "athlete_has_medical_check",</v>
      </c>
      <c r="R25" s="14" t="str">
        <f t="shared" si="1"/>
        <v>"athlete_has_medical_check": "string",</v>
      </c>
    </row>
    <row r="26" spans="1:18" ht="15.75" customHeight="1" outlineLevel="1">
      <c r="A26" s="37" t="s">
        <v>638</v>
      </c>
      <c r="B26" s="34" t="s">
        <v>78</v>
      </c>
      <c r="C26" s="36"/>
      <c r="D26" s="67" t="s">
        <v>778</v>
      </c>
      <c r="E26" s="168" t="s">
        <v>312</v>
      </c>
      <c r="F26" s="169"/>
      <c r="G26" s="17" t="s">
        <v>744</v>
      </c>
      <c r="H26" s="23" t="s">
        <v>683</v>
      </c>
      <c r="I26" s="23"/>
      <c r="J26" s="41"/>
      <c r="K26" s="12"/>
      <c r="L26" s="12"/>
      <c r="M26" s="49"/>
      <c r="N26" s="42"/>
      <c r="O26" s="43"/>
      <c r="P26" s="13"/>
      <c r="Q26" s="14" t="str">
        <f t="shared" si="0"/>
        <v>"new_pl_meetsthresholdconditions_label": "is_pass_threshold_condition",</v>
      </c>
      <c r="R26" s="14" t="str">
        <f t="shared" si="1"/>
        <v>"is_pass_threshold_condition": "string",</v>
      </c>
    </row>
    <row r="27" spans="1:18" ht="15.75" customHeight="1" outlineLevel="1">
      <c r="A27" s="56" t="s">
        <v>335</v>
      </c>
      <c r="B27" s="57" t="s">
        <v>111</v>
      </c>
      <c r="C27" s="58"/>
      <c r="D27" s="134" t="s">
        <v>336</v>
      </c>
      <c r="E27" s="168" t="s">
        <v>312</v>
      </c>
      <c r="F27" s="169"/>
      <c r="G27" s="17" t="s">
        <v>744</v>
      </c>
      <c r="H27" s="61" t="s">
        <v>337</v>
      </c>
      <c r="I27" s="23"/>
      <c r="J27" s="41"/>
      <c r="K27" s="12"/>
      <c r="L27" s="12"/>
      <c r="M27" s="49"/>
      <c r="N27" s="240"/>
      <c r="O27" s="241"/>
      <c r="P27" s="13"/>
      <c r="Q27" s="14" t="str">
        <f t="shared" si="0"/>
        <v>"statecode": "is_inactive",</v>
      </c>
      <c r="R27" s="14" t="str">
        <f t="shared" si="1"/>
        <v>"is_inactive": "Int64",</v>
      </c>
    </row>
    <row r="28" spans="1:18" ht="15.75" customHeight="1" outlineLevel="1">
      <c r="A28" s="56" t="s">
        <v>338</v>
      </c>
      <c r="B28" s="59" t="s">
        <v>111</v>
      </c>
      <c r="C28" s="60"/>
      <c r="D28" s="135" t="s">
        <v>340</v>
      </c>
      <c r="E28" s="168" t="s">
        <v>312</v>
      </c>
      <c r="F28" s="169"/>
      <c r="G28" s="17" t="s">
        <v>744</v>
      </c>
      <c r="H28" s="62" t="s">
        <v>341</v>
      </c>
      <c r="I28" s="23"/>
      <c r="J28" s="41"/>
      <c r="K28" s="12"/>
      <c r="L28" s="12"/>
      <c r="M28" s="49"/>
      <c r="N28" s="240"/>
      <c r="O28" s="241"/>
      <c r="P28" s="13"/>
      <c r="Q28" s="14" t="str">
        <f t="shared" si="0"/>
        <v>"statuscode": "status_code",</v>
      </c>
      <c r="R28" s="14" t="str">
        <f t="shared" si="1"/>
        <v>"status_code": "Int64",</v>
      </c>
    </row>
    <row r="29" spans="1:18" ht="15.75" customHeight="1" outlineLevel="1">
      <c r="A29" s="56" t="s">
        <v>342</v>
      </c>
      <c r="B29" s="59" t="s">
        <v>239</v>
      </c>
      <c r="C29" s="60"/>
      <c r="D29" s="135" t="s">
        <v>343</v>
      </c>
      <c r="E29" s="168" t="s">
        <v>312</v>
      </c>
      <c r="F29" s="169"/>
      <c r="G29" s="17" t="s">
        <v>744</v>
      </c>
      <c r="H29" s="63" t="s">
        <v>344</v>
      </c>
      <c r="I29" s="23"/>
      <c r="J29" s="41"/>
      <c r="K29" s="12"/>
      <c r="L29" s="12"/>
      <c r="M29" s="49"/>
      <c r="N29" s="240"/>
      <c r="O29" s="241"/>
      <c r="P29" s="13"/>
      <c r="Q29" s="14" t="str">
        <f t="shared" si="0"/>
        <v>"modifiedon": "modified_on_date",</v>
      </c>
      <c r="R29" s="14" t="str">
        <f t="shared" si="1"/>
        <v>"modified_on_date": "datetime",</v>
      </c>
    </row>
    <row r="30" spans="1:18" ht="15.75" customHeight="1" outlineLevel="1">
      <c r="A30" s="37"/>
      <c r="B30" s="34"/>
      <c r="C30" s="36"/>
      <c r="D30" s="16"/>
      <c r="E30" s="46"/>
      <c r="F30" s="47"/>
      <c r="G30" s="17"/>
      <c r="H30" s="22"/>
      <c r="I30" s="48"/>
      <c r="J30" s="41"/>
      <c r="K30" s="12"/>
      <c r="L30" s="12"/>
      <c r="M30" s="45"/>
      <c r="N30" s="42"/>
      <c r="O30" s="43"/>
      <c r="P30" s="13"/>
      <c r="Q30" s="14" t="str">
        <f t="shared" si="0"/>
        <v>"": "",</v>
      </c>
      <c r="R30" s="14" t="str">
        <f t="shared" si="1"/>
        <v>"": "",</v>
      </c>
    </row>
    <row r="31" spans="1:18" ht="15.75" customHeight="1" outlineLevel="1">
      <c r="A31" s="37"/>
      <c r="B31" s="34"/>
      <c r="C31" s="36"/>
      <c r="D31" s="34"/>
      <c r="E31" s="168"/>
      <c r="F31" s="169"/>
      <c r="G31" s="17"/>
      <c r="H31" s="22"/>
      <c r="I31" s="23"/>
      <c r="J31" s="41"/>
      <c r="K31" s="12"/>
      <c r="L31" s="12"/>
      <c r="M31" s="45"/>
      <c r="N31" s="240"/>
      <c r="O31" s="241"/>
      <c r="P31" s="13"/>
      <c r="Q31" s="14" t="str">
        <f t="shared" si="0"/>
        <v>"": "",</v>
      </c>
      <c r="R31" s="14" t="str">
        <f t="shared" si="1"/>
        <v>"": "",</v>
      </c>
    </row>
    <row r="32" spans="1:18" ht="15.75" customHeight="1" outlineLevel="1">
      <c r="A32" s="38" t="s">
        <v>64</v>
      </c>
      <c r="B32" s="39"/>
      <c r="C32" s="40"/>
      <c r="D32" s="9"/>
      <c r="E32" s="168"/>
      <c r="F32" s="169"/>
      <c r="G32" s="17"/>
      <c r="H32" s="25"/>
      <c r="I32" s="24"/>
      <c r="J32" s="51"/>
      <c r="K32" s="3"/>
      <c r="L32" s="3"/>
      <c r="M32" s="49"/>
      <c r="N32" s="242"/>
      <c r="O32" s="243"/>
      <c r="P32" s="4"/>
      <c r="Q32" s="14" t="str">
        <f t="shared" ref="Q32" si="2">CONCATENATE($Q$2,H32,$R$2,A32,$Q$2,",")</f>
        <v>"": "Leave Empty",</v>
      </c>
      <c r="R32" s="14" t="str">
        <f t="shared" ref="R32" si="3">CONCATENATE($Q$2,A32,$R$2,B32,$Q$2,",")</f>
        <v>"Leave Empty": "",</v>
      </c>
    </row>
    <row r="33" spans="5:15" ht="15.75" customHeight="1">
      <c r="E33" s="170"/>
      <c r="F33" s="146"/>
      <c r="G33" s="171"/>
      <c r="H33" s="155"/>
      <c r="I33" s="26"/>
      <c r="N33" s="226"/>
      <c r="O33" s="226"/>
    </row>
    <row r="34" spans="5:15" ht="15.75" customHeight="1"/>
    <row r="35" spans="5:15" ht="15.75" customHeight="1"/>
    <row r="36" spans="5:15" ht="15.75" customHeight="1"/>
    <row r="37" spans="5:15" ht="15.75" customHeight="1"/>
    <row r="38" spans="5:15" ht="15.75" customHeight="1"/>
    <row r="39" spans="5:15" ht="15.75" customHeight="1"/>
    <row r="40" spans="5:15" ht="15.75" customHeight="1"/>
    <row r="41" spans="5:15" ht="15.75" customHeight="1"/>
    <row r="42" spans="5:15" ht="15.75" customHeight="1"/>
    <row r="43" spans="5:15" ht="15.75" customHeight="1"/>
    <row r="44" spans="5:15" ht="15.75" customHeight="1"/>
    <row r="45" spans="5:15" ht="15.75" customHeight="1"/>
    <row r="46" spans="5:15" ht="15.75" customHeight="1"/>
    <row r="47" spans="5:15" ht="15.75" customHeight="1"/>
    <row r="48" spans="5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</sheetData>
  <autoFilter ref="A8:P32" xr:uid="{00000000-0009-0000-0000-000000000000}"/>
  <mergeCells count="62">
    <mergeCell ref="R2:R5"/>
    <mergeCell ref="E29:F29"/>
    <mergeCell ref="N29:O29"/>
    <mergeCell ref="E31:F31"/>
    <mergeCell ref="N31:O31"/>
    <mergeCell ref="N22:O22"/>
    <mergeCell ref="E13:F13"/>
    <mergeCell ref="N13:O13"/>
    <mergeCell ref="E14:F14"/>
    <mergeCell ref="N14:O14"/>
    <mergeCell ref="E15:F15"/>
    <mergeCell ref="E16:F16"/>
    <mergeCell ref="E17:F17"/>
    <mergeCell ref="E18:F18"/>
    <mergeCell ref="E19:F19"/>
    <mergeCell ref="E20:F20"/>
    <mergeCell ref="E33:F33"/>
    <mergeCell ref="G33:H33"/>
    <mergeCell ref="N33:O33"/>
    <mergeCell ref="E27:F27"/>
    <mergeCell ref="N27:O27"/>
    <mergeCell ref="E28:F28"/>
    <mergeCell ref="N28:O28"/>
    <mergeCell ref="E32:F32"/>
    <mergeCell ref="N32:O32"/>
    <mergeCell ref="B7:D7"/>
    <mergeCell ref="E7:I7"/>
    <mergeCell ref="J7:L7"/>
    <mergeCell ref="N7:P7"/>
    <mergeCell ref="E8:F8"/>
    <mergeCell ref="N8:O8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C3:C5"/>
    <mergeCell ref="D3:D5"/>
    <mergeCell ref="F3:G3"/>
    <mergeCell ref="F4:G4"/>
    <mergeCell ref="F5:G5"/>
    <mergeCell ref="E24:F24"/>
    <mergeCell ref="E25:F25"/>
    <mergeCell ref="E26:F26"/>
    <mergeCell ref="E23:F23"/>
    <mergeCell ref="Q2:Q5"/>
    <mergeCell ref="E11:F11"/>
    <mergeCell ref="N11:O11"/>
    <mergeCell ref="E12:F12"/>
    <mergeCell ref="N12:O12"/>
    <mergeCell ref="E9:F9"/>
    <mergeCell ref="N9:O9"/>
    <mergeCell ref="E10:F10"/>
    <mergeCell ref="N10:O10"/>
    <mergeCell ref="E21:F21"/>
    <mergeCell ref="N21:O21"/>
    <mergeCell ref="E22:F22"/>
  </mergeCells>
  <conditionalFormatting sqref="A9 A30:A32">
    <cfRule type="expression" dxfId="28" priority="6">
      <formula>M9 = "On Hold"</formula>
    </cfRule>
  </conditionalFormatting>
  <conditionalFormatting sqref="A11:A26">
    <cfRule type="expression" dxfId="27" priority="1">
      <formula>M11 = "On Hold"</formula>
    </cfRule>
  </conditionalFormatting>
  <conditionalFormatting sqref="B2:B5 J9:P32">
    <cfRule type="cellIs" dxfId="26" priority="4" operator="equal">
      <formula>"Done"</formula>
    </cfRule>
    <cfRule type="cellIs" dxfId="25" priority="5" operator="equal">
      <formula>"On Hold"</formula>
    </cfRule>
    <cfRule type="cellIs" dxfId="24" priority="7" operator="equal">
      <formula>"Ready for Review"</formula>
    </cfRule>
    <cfRule type="cellIs" dxfId="23" priority="8" operator="equal">
      <formula>"In Review"</formula>
    </cfRule>
  </conditionalFormatting>
  <dataValidations count="7">
    <dataValidation type="list" allowBlank="1" showErrorMessage="1" sqref="B2" xr:uid="{20440959-1C93-4F1B-AF5F-76AAA68568C6}">
      <formula1>STT_Statuses</formula1>
    </dataValidation>
    <dataValidation type="list" allowBlank="1" sqref="B4:B5" xr:uid="{C14BF64D-165C-45B3-BFD1-ECD68D2646E6}">
      <formula1>ETL_Statuses</formula1>
    </dataValidation>
    <dataValidation type="list" allowBlank="1" sqref="B3 M9:M32" xr:uid="{B1D521AF-4BBF-4E91-B5DB-7DD6649A67A3}">
      <formula1>Statuses</formula1>
    </dataValidation>
    <dataValidation type="list" allowBlank="1" sqref="N9:N32" xr:uid="{B8FCF983-079B-4681-9822-021D43B01554}">
      <formula1>Categories</formula1>
    </dataValidation>
    <dataValidation type="list" allowBlank="1" sqref="P9:P32" xr:uid="{810C5E3B-868D-4563-ABBA-19B9397CDF09}">
      <formula1>Versions</formula1>
    </dataValidation>
    <dataValidation type="list" allowBlank="1" sqref="B30:B32 B9:B26" xr:uid="{585311A5-B69D-46D2-8F8D-4D1EB931B2AE}">
      <formula1>Data_Types</formula1>
    </dataValidation>
    <dataValidation type="list" allowBlank="1" sqref="E9:E32" xr:uid="{1BE17BEB-A93A-4C04-8B7D-591B01917308}">
      <formula1>Sources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5A51-DD47-4351-A050-0D90C9065839}">
  <sheetPr>
    <tabColor rgb="FF00B050"/>
    <outlinePr summaryBelow="0" summaryRight="0"/>
  </sheetPr>
  <dimension ref="A1:R160"/>
  <sheetViews>
    <sheetView workbookViewId="0">
      <pane xSplit="1" ySplit="8" topLeftCell="B20" activePane="bottomRight" state="frozen"/>
      <selection pane="bottomRight" activeCell="H21" sqref="H21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743</v>
      </c>
      <c r="E3" s="148"/>
      <c r="F3" s="150"/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64" t="s">
        <v>744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779</v>
      </c>
      <c r="B9" s="34" t="s">
        <v>78</v>
      </c>
      <c r="C9" s="36" t="s">
        <v>156</v>
      </c>
      <c r="D9" s="34" t="s">
        <v>780</v>
      </c>
      <c r="E9" s="168" t="s">
        <v>781</v>
      </c>
      <c r="F9" s="169"/>
      <c r="G9" s="17" t="s">
        <v>782</v>
      </c>
      <c r="H9" s="23" t="s">
        <v>783</v>
      </c>
      <c r="I9" s="23" t="s">
        <v>784</v>
      </c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"serviceEventDetails.eventRequestDetails.dashboardId": "dashboard_id",</v>
      </c>
      <c r="R9" s="14" t="str">
        <f>CONCATENATE($Q$2,A9,$R$2,B9,$Q$2,",")</f>
        <v>"dashboard_id": "string",</v>
      </c>
    </row>
    <row r="10" spans="1:18" ht="15.75" customHeight="1" outlineLevel="1">
      <c r="A10" s="56" t="s">
        <v>785</v>
      </c>
      <c r="B10" s="34" t="s">
        <v>78</v>
      </c>
      <c r="C10" s="36"/>
      <c r="D10" s="16" t="s">
        <v>786</v>
      </c>
      <c r="E10" s="168" t="s">
        <v>787</v>
      </c>
      <c r="F10" s="169"/>
      <c r="G10" s="17" t="s">
        <v>788</v>
      </c>
      <c r="H10" s="23" t="s">
        <v>789</v>
      </c>
      <c r="I10" s="23" t="s">
        <v>790</v>
      </c>
      <c r="J10" s="41"/>
      <c r="K10" s="12"/>
      <c r="L10" s="12"/>
      <c r="M10" s="49"/>
      <c r="N10" s="240"/>
      <c r="O10" s="241"/>
      <c r="P10" s="13"/>
      <c r="Q10" s="14" t="str">
        <f t="shared" ref="Q10:Q32" si="0">CONCATENATE($Q$2,H10,$R$2,A10,$Q$2,",")</f>
        <v>"Arn": "dashboard_arn",</v>
      </c>
      <c r="R10" s="14" t="str">
        <f t="shared" ref="R10:R32" si="1">CONCATENATE($Q$2,A10,$R$2,B10,$Q$2,",")</f>
        <v>"dashboard_arn": "string",</v>
      </c>
    </row>
    <row r="11" spans="1:18" ht="15.75" customHeight="1" outlineLevel="1">
      <c r="A11" s="37" t="s">
        <v>791</v>
      </c>
      <c r="B11" s="34" t="s">
        <v>78</v>
      </c>
      <c r="C11" s="36"/>
      <c r="D11" s="34" t="s">
        <v>792</v>
      </c>
      <c r="E11" s="168" t="s">
        <v>787</v>
      </c>
      <c r="F11" s="169"/>
      <c r="G11" s="17" t="s">
        <v>788</v>
      </c>
      <c r="H11" s="23" t="s">
        <v>793</v>
      </c>
      <c r="I11" s="23" t="s">
        <v>794</v>
      </c>
      <c r="J11" s="41"/>
      <c r="K11" s="12"/>
      <c r="L11" s="12"/>
      <c r="M11" s="49"/>
      <c r="N11" s="240"/>
      <c r="O11" s="241"/>
      <c r="P11" s="13"/>
      <c r="Q11" s="14" t="str">
        <f t="shared" si="0"/>
        <v>"Name": "dashboard_name",</v>
      </c>
      <c r="R11" s="14" t="str">
        <f t="shared" si="1"/>
        <v>"dashboard_name": "string",</v>
      </c>
    </row>
    <row r="12" spans="1:18" ht="15.75" customHeight="1" outlineLevel="1">
      <c r="A12" s="37" t="s">
        <v>795</v>
      </c>
      <c r="B12" s="34" t="s">
        <v>78</v>
      </c>
      <c r="C12" s="36"/>
      <c r="D12" s="34" t="s">
        <v>796</v>
      </c>
      <c r="E12" s="168" t="s">
        <v>181</v>
      </c>
      <c r="F12" s="169"/>
      <c r="G12" s="17" t="s">
        <v>182</v>
      </c>
      <c r="H12" s="23" t="s">
        <v>797</v>
      </c>
      <c r="I12" s="23" t="s">
        <v>798</v>
      </c>
      <c r="J12" s="41"/>
      <c r="K12" s="12"/>
      <c r="L12" s="12"/>
      <c r="M12" s="49"/>
      <c r="N12" s="240"/>
      <c r="O12" s="241"/>
      <c r="P12" s="13"/>
      <c r="Q12" s="14" t="str">
        <f t="shared" si="0"/>
        <v>"dashboard_name, dashboard_id, name_duplicate_count": "dashboard_display",</v>
      </c>
      <c r="R12" s="14" t="str">
        <f t="shared" si="1"/>
        <v>"dashboard_display": "string",</v>
      </c>
    </row>
    <row r="13" spans="1:18" ht="15.75" customHeight="1" outlineLevel="1">
      <c r="A13" s="37" t="s">
        <v>799</v>
      </c>
      <c r="B13" s="34" t="s">
        <v>78</v>
      </c>
      <c r="C13" s="36"/>
      <c r="D13" s="34" t="s">
        <v>800</v>
      </c>
      <c r="E13" s="168" t="s">
        <v>181</v>
      </c>
      <c r="F13" s="169"/>
      <c r="G13" s="17" t="s">
        <v>182</v>
      </c>
      <c r="H13" s="23" t="s">
        <v>791</v>
      </c>
      <c r="I13" s="23" t="s">
        <v>801</v>
      </c>
      <c r="J13" s="41"/>
      <c r="K13" s="12"/>
      <c r="L13" s="12"/>
      <c r="M13" s="49"/>
      <c r="N13" s="240"/>
      <c r="O13" s="241"/>
      <c r="P13" s="13"/>
      <c r="Q13" s="14" t="str">
        <f t="shared" si="0"/>
        <v>"dashboard_name": "dashboard_family",</v>
      </c>
      <c r="R13" s="14" t="str">
        <f t="shared" si="1"/>
        <v>"dashboard_family": "string",</v>
      </c>
    </row>
    <row r="14" spans="1:18" ht="15.75" customHeight="1" outlineLevel="1">
      <c r="A14" s="37" t="s">
        <v>802</v>
      </c>
      <c r="B14" s="34" t="s">
        <v>78</v>
      </c>
      <c r="C14" s="36"/>
      <c r="D14" s="16" t="s">
        <v>803</v>
      </c>
      <c r="E14" s="168" t="s">
        <v>181</v>
      </c>
      <c r="F14" s="169"/>
      <c r="G14" s="17" t="s">
        <v>182</v>
      </c>
      <c r="H14" s="23" t="s">
        <v>791</v>
      </c>
      <c r="I14" s="23" t="s">
        <v>804</v>
      </c>
      <c r="J14" s="41"/>
      <c r="K14" s="12"/>
      <c r="L14" s="12"/>
      <c r="M14" s="49"/>
      <c r="N14" s="240"/>
      <c r="O14" s="241"/>
      <c r="P14" s="13"/>
      <c r="Q14" s="14" t="str">
        <f t="shared" si="0"/>
        <v>"dashboard_name": "env_type",</v>
      </c>
      <c r="R14" s="14" t="str">
        <f t="shared" si="1"/>
        <v>"env_type": "string",</v>
      </c>
    </row>
    <row r="15" spans="1:18" ht="15.75" customHeight="1" outlineLevel="1">
      <c r="A15" s="37" t="s">
        <v>805</v>
      </c>
      <c r="B15" s="34" t="s">
        <v>78</v>
      </c>
      <c r="C15" s="36"/>
      <c r="D15" s="16" t="s">
        <v>806</v>
      </c>
      <c r="E15" s="168" t="s">
        <v>181</v>
      </c>
      <c r="F15" s="169"/>
      <c r="G15" s="17" t="s">
        <v>182</v>
      </c>
      <c r="H15" s="23" t="s">
        <v>791</v>
      </c>
      <c r="I15" s="23" t="s">
        <v>807</v>
      </c>
      <c r="J15" s="41"/>
      <c r="K15" s="12"/>
      <c r="L15" s="12"/>
      <c r="M15" s="49"/>
      <c r="N15" s="42"/>
      <c r="O15" s="43"/>
      <c r="P15" s="13"/>
      <c r="Q15" s="14" t="str">
        <f t="shared" si="0"/>
        <v>"dashboard_name": "subject_domain",</v>
      </c>
      <c r="R15" s="14" t="str">
        <f t="shared" si="1"/>
        <v>"subject_domain": "string",</v>
      </c>
    </row>
    <row r="16" spans="1:18" ht="15.75" customHeight="1" outlineLevel="1">
      <c r="A16" s="37" t="s">
        <v>808</v>
      </c>
      <c r="B16" s="34" t="s">
        <v>809</v>
      </c>
      <c r="C16" s="36"/>
      <c r="D16" s="16" t="s">
        <v>810</v>
      </c>
      <c r="E16" s="168" t="s">
        <v>181</v>
      </c>
      <c r="F16" s="169"/>
      <c r="G16" s="17" t="s">
        <v>182</v>
      </c>
      <c r="H16" s="23" t="s">
        <v>811</v>
      </c>
      <c r="I16" s="23" t="s">
        <v>812</v>
      </c>
      <c r="J16" s="41"/>
      <c r="K16" s="12"/>
      <c r="L16" s="12"/>
      <c r="M16" s="49"/>
      <c r="N16" s="42"/>
      <c r="O16" s="43"/>
      <c r="P16" s="13"/>
      <c r="Q16" s="14" t="str">
        <f t="shared" si="0"/>
        <v>"list_dashboards.DashboardId": "dashboard_still_exists",</v>
      </c>
      <c r="R16" s="14" t="str">
        <f t="shared" si="1"/>
        <v>"dashboard_still_exists": "boolean",</v>
      </c>
    </row>
    <row r="17" spans="1:18" ht="15.75" customHeight="1" outlineLevel="1">
      <c r="A17" s="37" t="s">
        <v>167</v>
      </c>
      <c r="B17" s="34" t="s">
        <v>78</v>
      </c>
      <c r="C17" s="36"/>
      <c r="D17" s="16" t="s">
        <v>169</v>
      </c>
      <c r="E17" s="168" t="s">
        <v>181</v>
      </c>
      <c r="F17" s="169"/>
      <c r="G17" s="17" t="s">
        <v>182</v>
      </c>
      <c r="H17" s="23" t="s">
        <v>813</v>
      </c>
      <c r="I17" s="23" t="s">
        <v>814</v>
      </c>
      <c r="J17" s="41"/>
      <c r="K17" s="12"/>
      <c r="L17" s="12"/>
      <c r="M17" s="49"/>
      <c r="N17" s="42"/>
      <c r="O17" s="43"/>
      <c r="P17" s="13"/>
      <c r="Q17" s="14" t="str">
        <f t="shared" si="0"/>
        <v>"days_since_last_view": "lifecycle_status",</v>
      </c>
      <c r="R17" s="14" t="str">
        <f t="shared" si="1"/>
        <v>"lifecycle_status": "string",</v>
      </c>
    </row>
    <row r="18" spans="1:18" ht="15.75" customHeight="1" outlineLevel="1">
      <c r="A18" s="118" t="s">
        <v>815</v>
      </c>
      <c r="B18" s="119" t="s">
        <v>239</v>
      </c>
      <c r="C18" s="120"/>
      <c r="D18" s="119" t="s">
        <v>816</v>
      </c>
      <c r="E18" s="220" t="s">
        <v>781</v>
      </c>
      <c r="F18" s="221"/>
      <c r="G18" s="121" t="s">
        <v>782</v>
      </c>
      <c r="H18" s="122" t="s">
        <v>817</v>
      </c>
      <c r="I18" s="23" t="s">
        <v>818</v>
      </c>
      <c r="J18" s="41"/>
      <c r="K18" s="12"/>
      <c r="L18" s="12"/>
      <c r="M18" s="49"/>
      <c r="N18" s="42"/>
      <c r="O18" s="43"/>
      <c r="P18" s="13"/>
      <c r="Q18" s="14" t="str">
        <f t="shared" si="0"/>
        <v>"eventTime": "first_seen_ts",</v>
      </c>
      <c r="R18" s="14" t="str">
        <f t="shared" si="1"/>
        <v>"first_seen_ts": "datetime",</v>
      </c>
    </row>
    <row r="19" spans="1:18" ht="15.75" customHeight="1" outlineLevel="1">
      <c r="A19" s="37" t="s">
        <v>819</v>
      </c>
      <c r="B19" s="34" t="s">
        <v>239</v>
      </c>
      <c r="C19" s="36"/>
      <c r="D19" s="16" t="s">
        <v>820</v>
      </c>
      <c r="E19" s="168" t="s">
        <v>781</v>
      </c>
      <c r="F19" s="169"/>
      <c r="G19" s="17" t="s">
        <v>782</v>
      </c>
      <c r="H19" s="23" t="s">
        <v>817</v>
      </c>
      <c r="I19" s="23" t="s">
        <v>821</v>
      </c>
      <c r="J19" s="41"/>
      <c r="K19" s="12"/>
      <c r="L19" s="12"/>
      <c r="M19" s="49"/>
      <c r="N19" s="42"/>
      <c r="O19" s="43"/>
      <c r="P19" s="13"/>
      <c r="Q19" s="14" t="str">
        <f t="shared" si="0"/>
        <v>"eventTime": "last_seen_ts",</v>
      </c>
      <c r="R19" s="14" t="str">
        <f t="shared" si="1"/>
        <v>"last_seen_ts": "datetime",</v>
      </c>
    </row>
    <row r="20" spans="1:18" ht="15.75" customHeight="1" outlineLevel="1">
      <c r="A20" s="37" t="s">
        <v>813</v>
      </c>
      <c r="B20" s="34" t="s">
        <v>217</v>
      </c>
      <c r="C20" s="36"/>
      <c r="D20" s="16" t="s">
        <v>822</v>
      </c>
      <c r="E20" s="168" t="s">
        <v>181</v>
      </c>
      <c r="F20" s="169"/>
      <c r="G20" s="17" t="s">
        <v>182</v>
      </c>
      <c r="H20" s="23" t="s">
        <v>819</v>
      </c>
      <c r="I20" s="23" t="s">
        <v>823</v>
      </c>
      <c r="J20" s="41"/>
      <c r="K20" s="12"/>
      <c r="L20" s="12"/>
      <c r="M20" s="49"/>
      <c r="N20" s="42"/>
      <c r="O20" s="43"/>
      <c r="P20" s="13"/>
      <c r="Q20" s="14" t="str">
        <f t="shared" si="0"/>
        <v>"last_seen_ts": "days_since_last_view",</v>
      </c>
      <c r="R20" s="14" t="str">
        <f t="shared" si="1"/>
        <v>"days_since_last_view": "float64",</v>
      </c>
    </row>
    <row r="21" spans="1:18" ht="15.75" customHeight="1" outlineLevel="1">
      <c r="A21" s="37" t="s">
        <v>824</v>
      </c>
      <c r="B21" s="34" t="s">
        <v>217</v>
      </c>
      <c r="C21" s="36"/>
      <c r="D21" s="16" t="s">
        <v>825</v>
      </c>
      <c r="E21" s="168" t="s">
        <v>181</v>
      </c>
      <c r="F21" s="169"/>
      <c r="G21" s="17" t="s">
        <v>182</v>
      </c>
      <c r="H21" s="23" t="s">
        <v>826</v>
      </c>
      <c r="I21" s="23" t="s">
        <v>827</v>
      </c>
      <c r="J21" s="41"/>
      <c r="K21" s="12"/>
      <c r="L21" s="12"/>
      <c r="M21" s="49"/>
      <c r="N21" s="240"/>
      <c r="O21" s="241"/>
      <c r="P21" s="13"/>
      <c r="Q21" s="14" t="str">
        <f t="shared" si="0"/>
        <v>"first_seen_ts, last_seen_ts": "lifespan_days",</v>
      </c>
      <c r="R21" s="14" t="str">
        <f t="shared" si="1"/>
        <v>"lifespan_days": "float64",</v>
      </c>
    </row>
    <row r="22" spans="1:18" ht="15.75" customHeight="1" outlineLevel="1">
      <c r="A22" s="37" t="s">
        <v>828</v>
      </c>
      <c r="B22" s="34" t="s">
        <v>111</v>
      </c>
      <c r="C22" s="36"/>
      <c r="D22" s="34" t="s">
        <v>829</v>
      </c>
      <c r="E22" s="168" t="s">
        <v>781</v>
      </c>
      <c r="F22" s="169"/>
      <c r="G22" s="17" t="s">
        <v>782</v>
      </c>
      <c r="H22" s="23" t="s">
        <v>830</v>
      </c>
      <c r="I22" s="23" t="s">
        <v>831</v>
      </c>
      <c r="J22" s="41"/>
      <c r="K22" s="12"/>
      <c r="L22" s="12"/>
      <c r="M22" s="49"/>
      <c r="N22" s="240"/>
      <c r="O22" s="241"/>
      <c r="P22" s="13"/>
      <c r="Q22" s="14" t="str">
        <f t="shared" si="0"/>
        <v>"eventID": "total_views",</v>
      </c>
      <c r="R22" s="14" t="str">
        <f t="shared" si="1"/>
        <v>"total_views": "Int64",</v>
      </c>
    </row>
    <row r="23" spans="1:18" ht="15.75" customHeight="1" outlineLevel="1">
      <c r="A23" s="37" t="s">
        <v>832</v>
      </c>
      <c r="B23" s="65" t="s">
        <v>111</v>
      </c>
      <c r="C23" s="66"/>
      <c r="D23" s="65" t="s">
        <v>833</v>
      </c>
      <c r="E23" s="168" t="s">
        <v>781</v>
      </c>
      <c r="F23" s="169"/>
      <c r="G23" s="17" t="s">
        <v>782</v>
      </c>
      <c r="H23" s="23" t="s">
        <v>834</v>
      </c>
      <c r="I23" s="23" t="s">
        <v>835</v>
      </c>
      <c r="J23" s="41"/>
      <c r="K23" s="12"/>
      <c r="L23" s="12"/>
      <c r="M23" s="49"/>
      <c r="N23" s="42"/>
      <c r="O23" s="43"/>
      <c r="P23" s="13"/>
      <c r="Q23" s="14" t="str">
        <f t="shared" si="0"/>
        <v>"Username": "distinct_users_all_time",</v>
      </c>
      <c r="R23" s="14" t="str">
        <f t="shared" si="1"/>
        <v>"distinct_users_all_time": "Int64",</v>
      </c>
    </row>
    <row r="24" spans="1:18" ht="15.75" customHeight="1" outlineLevel="1">
      <c r="A24" s="37" t="s">
        <v>836</v>
      </c>
      <c r="B24" s="65" t="s">
        <v>111</v>
      </c>
      <c r="C24" s="66"/>
      <c r="D24" s="65" t="s">
        <v>837</v>
      </c>
      <c r="E24" s="168" t="s">
        <v>181</v>
      </c>
      <c r="F24" s="169"/>
      <c r="G24" s="17" t="s">
        <v>182</v>
      </c>
      <c r="H24" s="23" t="s">
        <v>791</v>
      </c>
      <c r="I24" s="23" t="s">
        <v>838</v>
      </c>
      <c r="J24" s="41"/>
      <c r="K24" s="12"/>
      <c r="L24" s="12"/>
      <c r="M24" s="49"/>
      <c r="N24" s="42"/>
      <c r="O24" s="43"/>
      <c r="P24" s="13"/>
      <c r="Q24" s="14" t="str">
        <f t="shared" si="0"/>
        <v>"dashboard_name": "name_duplicate_count",</v>
      </c>
      <c r="R24" s="14" t="str">
        <f t="shared" si="1"/>
        <v>"name_duplicate_count": "Int64",</v>
      </c>
    </row>
    <row r="25" spans="1:18" ht="15.75" customHeight="1" outlineLevel="1">
      <c r="A25" s="37" t="s">
        <v>839</v>
      </c>
      <c r="B25" s="65" t="s">
        <v>111</v>
      </c>
      <c r="C25" s="66"/>
      <c r="D25" s="65" t="s">
        <v>840</v>
      </c>
      <c r="E25" s="168" t="s">
        <v>181</v>
      </c>
      <c r="F25" s="169"/>
      <c r="G25" s="17" t="s">
        <v>182</v>
      </c>
      <c r="H25" s="23" t="s">
        <v>799</v>
      </c>
      <c r="I25" s="23" t="s">
        <v>841</v>
      </c>
      <c r="J25" s="41"/>
      <c r="K25" s="12"/>
      <c r="L25" s="12"/>
      <c r="M25" s="49"/>
      <c r="N25" s="42"/>
      <c r="O25" s="43"/>
      <c r="P25" s="13"/>
      <c r="Q25" s="14" t="str">
        <f t="shared" si="0"/>
        <v>"dashboard_family": "dashboards_in_family",</v>
      </c>
      <c r="R25" s="14" t="str">
        <f t="shared" si="1"/>
        <v>"dashboards_in_family": "Int64",</v>
      </c>
    </row>
    <row r="26" spans="1:18" ht="15.75" customHeight="1" outlineLevel="1">
      <c r="A26" s="37" t="s">
        <v>842</v>
      </c>
      <c r="B26" s="34" t="s">
        <v>809</v>
      </c>
      <c r="C26" s="36"/>
      <c r="D26" s="67" t="s">
        <v>843</v>
      </c>
      <c r="E26" s="168" t="s">
        <v>181</v>
      </c>
      <c r="F26" s="169"/>
      <c r="G26" s="17" t="s">
        <v>182</v>
      </c>
      <c r="H26" s="23" t="s">
        <v>844</v>
      </c>
      <c r="I26" s="23" t="s">
        <v>845</v>
      </c>
      <c r="J26" s="41"/>
      <c r="K26" s="12"/>
      <c r="L26" s="12"/>
      <c r="M26" s="49"/>
      <c r="N26" s="42"/>
      <c r="O26" s="43"/>
      <c r="P26" s="13"/>
      <c r="Q26" s="14" t="str">
        <f t="shared" si="0"/>
        <v>"dashboard_family, last_seen_ts": "is_primary_in_family",</v>
      </c>
      <c r="R26" s="14" t="str">
        <f t="shared" si="1"/>
        <v>"is_primary_in_family": "boolean",</v>
      </c>
    </row>
    <row r="27" spans="1:18" ht="15.75" customHeight="1" outlineLevel="1">
      <c r="A27" s="56" t="s">
        <v>846</v>
      </c>
      <c r="B27" s="57" t="s">
        <v>239</v>
      </c>
      <c r="C27" s="58"/>
      <c r="D27" s="134" t="s">
        <v>847</v>
      </c>
      <c r="E27" s="168" t="s">
        <v>787</v>
      </c>
      <c r="F27" s="169"/>
      <c r="G27" s="17" t="s">
        <v>788</v>
      </c>
      <c r="H27" s="61" t="s">
        <v>848</v>
      </c>
      <c r="I27" s="23" t="s">
        <v>849</v>
      </c>
      <c r="J27" s="41"/>
      <c r="K27" s="12"/>
      <c r="L27" s="12"/>
      <c r="M27" s="49"/>
      <c r="N27" s="240"/>
      <c r="O27" s="241"/>
      <c r="P27" s="13"/>
      <c r="Q27" s="14" t="str">
        <f t="shared" si="0"/>
        <v>"CreatedTime": "created_time",</v>
      </c>
      <c r="R27" s="14" t="str">
        <f t="shared" si="1"/>
        <v>"created_time": "datetime",</v>
      </c>
    </row>
    <row r="28" spans="1:18" ht="15.75" customHeight="1" outlineLevel="1">
      <c r="A28" s="56" t="s">
        <v>850</v>
      </c>
      <c r="B28" s="59" t="s">
        <v>239</v>
      </c>
      <c r="C28" s="60"/>
      <c r="D28" s="135" t="s">
        <v>851</v>
      </c>
      <c r="E28" s="168" t="s">
        <v>787</v>
      </c>
      <c r="F28" s="169"/>
      <c r="G28" s="17" t="s">
        <v>788</v>
      </c>
      <c r="H28" s="62" t="s">
        <v>852</v>
      </c>
      <c r="I28" s="23" t="s">
        <v>849</v>
      </c>
      <c r="J28" s="41"/>
      <c r="K28" s="12"/>
      <c r="L28" s="12"/>
      <c r="M28" s="49"/>
      <c r="N28" s="240"/>
      <c r="O28" s="241"/>
      <c r="P28" s="13"/>
      <c r="Q28" s="14" t="str">
        <f t="shared" si="0"/>
        <v>"LastUpdatedTime": "last_updated_time",</v>
      </c>
      <c r="R28" s="14" t="str">
        <f t="shared" si="1"/>
        <v>"last_updated_time": "datetime",</v>
      </c>
    </row>
    <row r="29" spans="1:18" ht="15.75" customHeight="1" outlineLevel="1">
      <c r="A29" s="56" t="s">
        <v>853</v>
      </c>
      <c r="B29" s="59" t="s">
        <v>239</v>
      </c>
      <c r="C29" s="60"/>
      <c r="D29" s="135" t="s">
        <v>854</v>
      </c>
      <c r="E29" s="168" t="s">
        <v>787</v>
      </c>
      <c r="F29" s="169"/>
      <c r="G29" s="17" t="s">
        <v>788</v>
      </c>
      <c r="H29" s="63" t="s">
        <v>855</v>
      </c>
      <c r="I29" s="23" t="s">
        <v>849</v>
      </c>
      <c r="J29" s="41"/>
      <c r="K29" s="12"/>
      <c r="L29" s="12"/>
      <c r="M29" s="49"/>
      <c r="N29" s="240"/>
      <c r="O29" s="241"/>
      <c r="P29" s="13"/>
      <c r="Q29" s="14" t="str">
        <f t="shared" si="0"/>
        <v>"LastPublishedTime": "last_published_time",</v>
      </c>
      <c r="R29" s="14" t="str">
        <f t="shared" si="1"/>
        <v>"last_published_time": "datetime",</v>
      </c>
    </row>
    <row r="30" spans="1:18" ht="15.75" customHeight="1" outlineLevel="1">
      <c r="A30" s="37" t="s">
        <v>856</v>
      </c>
      <c r="B30" s="34" t="s">
        <v>111</v>
      </c>
      <c r="C30" s="36"/>
      <c r="D30" s="16" t="s">
        <v>857</v>
      </c>
      <c r="E30" s="46" t="s">
        <v>787</v>
      </c>
      <c r="F30" s="47"/>
      <c r="G30" s="17" t="s">
        <v>788</v>
      </c>
      <c r="H30" s="22" t="s">
        <v>858</v>
      </c>
      <c r="I30" s="48"/>
      <c r="J30" s="41"/>
      <c r="K30" s="12"/>
      <c r="L30" s="12"/>
      <c r="M30" s="45"/>
      <c r="N30" s="42"/>
      <c r="O30" s="43"/>
      <c r="P30" s="13"/>
      <c r="Q30" s="14" t="str">
        <f t="shared" si="0"/>
        <v>"PublishedVersionNumber": "published_version_number",</v>
      </c>
      <c r="R30" s="14" t="str">
        <f t="shared" si="1"/>
        <v>"published_version_number": "Int64",</v>
      </c>
    </row>
    <row r="31" spans="1:18" ht="15.75" customHeight="1" outlineLevel="1">
      <c r="A31" s="37" t="s">
        <v>859</v>
      </c>
      <c r="B31" s="34" t="s">
        <v>239</v>
      </c>
      <c r="C31" s="36"/>
      <c r="D31" s="34" t="s">
        <v>860</v>
      </c>
      <c r="E31" s="168" t="s">
        <v>181</v>
      </c>
      <c r="F31" s="169"/>
      <c r="G31" s="17" t="s">
        <v>182</v>
      </c>
      <c r="H31" s="22" t="s">
        <v>241</v>
      </c>
      <c r="I31" s="23" t="s">
        <v>861</v>
      </c>
      <c r="J31" s="41"/>
      <c r="K31" s="12"/>
      <c r="L31" s="12"/>
      <c r="M31" s="45"/>
      <c r="N31" s="240"/>
      <c r="O31" s="241"/>
      <c r="P31" s="13"/>
      <c r="Q31" s="14" t="str">
        <f t="shared" si="0"/>
        <v>"System timestamp": "etl_load_ts",</v>
      </c>
      <c r="R31" s="14" t="str">
        <f t="shared" si="1"/>
        <v>"etl_load_ts": "datetime",</v>
      </c>
    </row>
    <row r="32" spans="1:18" ht="15.75" customHeight="1" outlineLevel="1">
      <c r="A32" s="38" t="s">
        <v>859</v>
      </c>
      <c r="B32" s="39" t="s">
        <v>239</v>
      </c>
      <c r="C32" s="40"/>
      <c r="D32" s="9" t="s">
        <v>862</v>
      </c>
      <c r="E32" s="168" t="s">
        <v>181</v>
      </c>
      <c r="F32" s="169"/>
      <c r="G32" s="17" t="s">
        <v>182</v>
      </c>
      <c r="H32" s="25" t="s">
        <v>241</v>
      </c>
      <c r="I32" s="24" t="s">
        <v>861</v>
      </c>
      <c r="J32" s="51"/>
      <c r="K32" s="3"/>
      <c r="L32" s="3"/>
      <c r="M32" s="49"/>
      <c r="N32" s="242"/>
      <c r="O32" s="243"/>
      <c r="P32" s="4"/>
      <c r="Q32" s="14" t="str">
        <f t="shared" si="0"/>
        <v>"System timestamp": "etl_load_ts",</v>
      </c>
      <c r="R32" s="14" t="str">
        <f t="shared" si="1"/>
        <v>"etl_load_ts": "datetime",</v>
      </c>
    </row>
    <row r="33" spans="5:15" ht="15.75" customHeight="1">
      <c r="E33" s="170"/>
      <c r="F33" s="146"/>
      <c r="G33" s="171"/>
      <c r="H33" s="155"/>
      <c r="I33" s="26"/>
      <c r="N33" s="226"/>
      <c r="O33" s="226"/>
    </row>
    <row r="34" spans="5:15" ht="15.75" customHeight="1"/>
    <row r="35" spans="5:15" ht="15.75" customHeight="1"/>
    <row r="36" spans="5:15" ht="15.75" customHeight="1"/>
    <row r="37" spans="5:15" ht="15.75" customHeight="1"/>
    <row r="38" spans="5:15" ht="15.75" customHeight="1"/>
    <row r="39" spans="5:15" ht="15.75" customHeight="1"/>
    <row r="40" spans="5:15" ht="15.75" customHeight="1"/>
    <row r="41" spans="5:15" ht="15.75" customHeight="1"/>
    <row r="42" spans="5:15" ht="15.75" customHeight="1"/>
    <row r="43" spans="5:15" ht="15.75" customHeight="1"/>
    <row r="44" spans="5:15" ht="15.75" customHeight="1"/>
    <row r="45" spans="5:15" ht="15.75" customHeight="1"/>
    <row r="46" spans="5:15" ht="15.75" customHeight="1"/>
    <row r="47" spans="5:15" ht="15.75" customHeight="1"/>
    <row r="48" spans="5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</sheetData>
  <autoFilter ref="A8:P32" xr:uid="{00000000-0009-0000-0000-000000000000}"/>
  <mergeCells count="62">
    <mergeCell ref="E33:F33"/>
    <mergeCell ref="G33:H33"/>
    <mergeCell ref="N33:O33"/>
    <mergeCell ref="E29:F29"/>
    <mergeCell ref="N29:O29"/>
    <mergeCell ref="E31:F31"/>
    <mergeCell ref="N31:O31"/>
    <mergeCell ref="E32:F32"/>
    <mergeCell ref="N32:O32"/>
    <mergeCell ref="E25:F25"/>
    <mergeCell ref="E26:F26"/>
    <mergeCell ref="E27:F27"/>
    <mergeCell ref="N27:O27"/>
    <mergeCell ref="E28:F28"/>
    <mergeCell ref="N28:O28"/>
    <mergeCell ref="E21:F21"/>
    <mergeCell ref="N21:O21"/>
    <mergeCell ref="E22:F22"/>
    <mergeCell ref="N22:O22"/>
    <mergeCell ref="E23:F23"/>
    <mergeCell ref="E24:F24"/>
    <mergeCell ref="E15:F15"/>
    <mergeCell ref="E16:F16"/>
    <mergeCell ref="E17:F17"/>
    <mergeCell ref="E18:F18"/>
    <mergeCell ref="E19:F19"/>
    <mergeCell ref="E20:F20"/>
    <mergeCell ref="E12:F12"/>
    <mergeCell ref="N12:O12"/>
    <mergeCell ref="E13:F13"/>
    <mergeCell ref="N13:O13"/>
    <mergeCell ref="E14:F14"/>
    <mergeCell ref="N14:O14"/>
    <mergeCell ref="E9:F9"/>
    <mergeCell ref="N9:O9"/>
    <mergeCell ref="E10:F10"/>
    <mergeCell ref="N10:O10"/>
    <mergeCell ref="E11:F11"/>
    <mergeCell ref="N11:O11"/>
    <mergeCell ref="B7:D7"/>
    <mergeCell ref="E7:I7"/>
    <mergeCell ref="J7:L7"/>
    <mergeCell ref="N7:P7"/>
    <mergeCell ref="E8:F8"/>
    <mergeCell ref="N8:O8"/>
    <mergeCell ref="Q2:Q5"/>
    <mergeCell ref="R2:R5"/>
    <mergeCell ref="C3:C5"/>
    <mergeCell ref="D3:D5"/>
    <mergeCell ref="F3:G3"/>
    <mergeCell ref="F4:G4"/>
    <mergeCell ref="F5:G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</mergeCells>
  <conditionalFormatting sqref="A9 A30:A32">
    <cfRule type="expression" dxfId="22" priority="4">
      <formula>M9 = "On Hold"</formula>
    </cfRule>
  </conditionalFormatting>
  <conditionalFormatting sqref="A11:A26">
    <cfRule type="expression" dxfId="21" priority="1">
      <formula>M11 = "On Hold"</formula>
    </cfRule>
  </conditionalFormatting>
  <conditionalFormatting sqref="B2:B5 J9:P32">
    <cfRule type="cellIs" dxfId="20" priority="2" operator="equal">
      <formula>"Done"</formula>
    </cfRule>
    <cfRule type="cellIs" dxfId="19" priority="3" operator="equal">
      <formula>"On Hold"</formula>
    </cfRule>
    <cfRule type="cellIs" dxfId="18" priority="5" operator="equal">
      <formula>"Ready for Review"</formula>
    </cfRule>
    <cfRule type="cellIs" dxfId="17" priority="6" operator="equal">
      <formula>"In Review"</formula>
    </cfRule>
  </conditionalFormatting>
  <dataValidations count="7">
    <dataValidation type="list" allowBlank="1" sqref="E9:E32" xr:uid="{4F734B95-11E6-4DE6-88A8-1FDDCF4A7865}">
      <formula1>Sources</formula1>
    </dataValidation>
    <dataValidation type="list" allowBlank="1" sqref="B30:B32 B9:B26" xr:uid="{280419DD-57F7-457C-BED8-632F5FFBC3C0}">
      <formula1>Data_Types</formula1>
    </dataValidation>
    <dataValidation type="list" allowBlank="1" sqref="P9:P32" xr:uid="{868B7CA8-2E13-4ABF-9A7D-F9BF824258CD}">
      <formula1>Versions</formula1>
    </dataValidation>
    <dataValidation type="list" allowBlank="1" sqref="N9:N32" xr:uid="{CE3335C9-8CEF-4817-A775-3A7656A84A6C}">
      <formula1>Categories</formula1>
    </dataValidation>
    <dataValidation type="list" allowBlank="1" sqref="B3 M9:M32" xr:uid="{270959C7-A230-47F7-B78B-15974E317114}">
      <formula1>Statuses</formula1>
    </dataValidation>
    <dataValidation type="list" allowBlank="1" sqref="B4:B5" xr:uid="{CD17A423-DFC1-4B8A-965F-0C0FDC56132F}">
      <formula1>ETL_Statuses</formula1>
    </dataValidation>
    <dataValidation type="list" allowBlank="1" showErrorMessage="1" sqref="B2" xr:uid="{B69C5A35-DC5C-45E6-BB75-73E5626C6788}">
      <formula1>STT_Statuses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77BA5-C4B2-4DA0-8050-E66A7E4B3073}">
  <sheetPr>
    <tabColor rgb="FF00B050"/>
    <outlinePr summaryBelow="0" summaryRight="0"/>
  </sheetPr>
  <dimension ref="A1:R157"/>
  <sheetViews>
    <sheetView tabSelected="1" workbookViewId="0">
      <pane xSplit="1" ySplit="8" topLeftCell="B26" activePane="bottomRight" state="frozen"/>
      <selection pane="bottomRight" activeCell="A33" sqref="A33:I35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743</v>
      </c>
      <c r="E3" s="148"/>
      <c r="F3" s="150"/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64" t="s">
        <v>744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37" t="s">
        <v>863</v>
      </c>
      <c r="B9" s="34" t="s">
        <v>78</v>
      </c>
      <c r="C9" s="36" t="e" vm="1">
        <v>#VALUE!</v>
      </c>
      <c r="D9" s="34" t="s">
        <v>864</v>
      </c>
      <c r="E9" s="168" t="s">
        <v>781</v>
      </c>
      <c r="F9" s="169"/>
      <c r="G9" s="17" t="s">
        <v>782</v>
      </c>
      <c r="H9" s="23" t="s">
        <v>830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"eventID": "event_id",</v>
      </c>
      <c r="R9" s="14" t="str">
        <f>CONCATENATE($Q$2,A9,$R$2,B9,$Q$2,",")</f>
        <v>"event_id": "string",</v>
      </c>
    </row>
    <row r="10" spans="1:18" ht="15.75" customHeight="1" outlineLevel="1">
      <c r="A10" s="56" t="s">
        <v>779</v>
      </c>
      <c r="B10" s="34" t="s">
        <v>78</v>
      </c>
      <c r="C10" s="36" t="e" vm="1">
        <v>#VALUE!</v>
      </c>
      <c r="D10" s="16" t="s">
        <v>865</v>
      </c>
      <c r="E10" s="168" t="s">
        <v>781</v>
      </c>
      <c r="F10" s="169"/>
      <c r="G10" s="17" t="s">
        <v>782</v>
      </c>
      <c r="H10" s="23" t="s">
        <v>783</v>
      </c>
      <c r="I10" s="23" t="s">
        <v>866</v>
      </c>
      <c r="J10" s="41"/>
      <c r="K10" s="12"/>
      <c r="L10" s="12"/>
      <c r="M10" s="49"/>
      <c r="N10" s="240"/>
      <c r="O10" s="241"/>
      <c r="P10" s="13"/>
      <c r="Q10" s="14" t="str">
        <f t="shared" ref="Q10:Q32" si="0">CONCATENATE($Q$2,H10,$R$2,A10,$Q$2,",")</f>
        <v>"serviceEventDetails.eventRequestDetails.dashboardId": "dashboard_id",</v>
      </c>
      <c r="R10" s="14" t="str">
        <f t="shared" ref="R10:R32" si="1">CONCATENATE($Q$2,A10,$R$2,B10,$Q$2,",")</f>
        <v>"dashboard_id": "string",</v>
      </c>
    </row>
    <row r="11" spans="1:18" ht="15.75" customHeight="1" outlineLevel="1">
      <c r="A11" s="37" t="s">
        <v>791</v>
      </c>
      <c r="B11" s="34" t="s">
        <v>78</v>
      </c>
      <c r="C11" s="36"/>
      <c r="D11" s="34" t="s">
        <v>867</v>
      </c>
      <c r="E11" s="168" t="s">
        <v>868</v>
      </c>
      <c r="F11" s="169"/>
      <c r="G11" s="17" t="s">
        <v>869</v>
      </c>
      <c r="H11" s="23" t="s">
        <v>791</v>
      </c>
      <c r="I11" s="23" t="s">
        <v>870</v>
      </c>
      <c r="J11" s="41"/>
      <c r="K11" s="12"/>
      <c r="L11" s="12"/>
      <c r="M11" s="49"/>
      <c r="N11" s="240"/>
      <c r="O11" s="241"/>
      <c r="P11" s="13"/>
      <c r="Q11" s="14" t="str">
        <f t="shared" si="0"/>
        <v>"dashboard_name": "dashboard_name",</v>
      </c>
      <c r="R11" s="14" t="str">
        <f t="shared" si="1"/>
        <v>"dashboard_name": "string",</v>
      </c>
    </row>
    <row r="12" spans="1:18" ht="15.75" customHeight="1" outlineLevel="1">
      <c r="A12" s="37" t="s">
        <v>795</v>
      </c>
      <c r="B12" s="34" t="s">
        <v>78</v>
      </c>
      <c r="C12" s="36"/>
      <c r="D12" s="34" t="s">
        <v>796</v>
      </c>
      <c r="E12" s="168" t="s">
        <v>868</v>
      </c>
      <c r="F12" s="169"/>
      <c r="G12" s="17" t="s">
        <v>869</v>
      </c>
      <c r="H12" s="23" t="s">
        <v>795</v>
      </c>
      <c r="I12" s="23" t="s">
        <v>871</v>
      </c>
      <c r="J12" s="41"/>
      <c r="K12" s="12"/>
      <c r="L12" s="12"/>
      <c r="M12" s="49"/>
      <c r="N12" s="240"/>
      <c r="O12" s="241"/>
      <c r="P12" s="13"/>
      <c r="Q12" s="14" t="str">
        <f t="shared" si="0"/>
        <v>"dashboard_display": "dashboard_display",</v>
      </c>
      <c r="R12" s="14" t="str">
        <f t="shared" si="1"/>
        <v>"dashboard_display": "string",</v>
      </c>
    </row>
    <row r="13" spans="1:18" ht="15.75" customHeight="1" outlineLevel="1">
      <c r="A13" s="37" t="s">
        <v>799</v>
      </c>
      <c r="B13" s="34" t="s">
        <v>78</v>
      </c>
      <c r="C13" s="36"/>
      <c r="D13" s="34" t="s">
        <v>800</v>
      </c>
      <c r="E13" s="168" t="s">
        <v>868</v>
      </c>
      <c r="F13" s="169"/>
      <c r="G13" s="17" t="s">
        <v>869</v>
      </c>
      <c r="H13" s="23" t="s">
        <v>799</v>
      </c>
      <c r="I13" s="23" t="s">
        <v>871</v>
      </c>
      <c r="J13" s="41"/>
      <c r="K13" s="12"/>
      <c r="L13" s="12"/>
      <c r="M13" s="49"/>
      <c r="N13" s="240"/>
      <c r="O13" s="241"/>
      <c r="P13" s="13"/>
      <c r="Q13" s="14" t="str">
        <f t="shared" si="0"/>
        <v>"dashboard_family": "dashboard_family",</v>
      </c>
      <c r="R13" s="14" t="str">
        <f t="shared" si="1"/>
        <v>"dashboard_family": "string",</v>
      </c>
    </row>
    <row r="14" spans="1:18" ht="15.75" customHeight="1" outlineLevel="1">
      <c r="A14" s="37" t="s">
        <v>802</v>
      </c>
      <c r="B14" s="34" t="s">
        <v>78</v>
      </c>
      <c r="C14" s="36"/>
      <c r="D14" s="16" t="s">
        <v>803</v>
      </c>
      <c r="E14" s="168" t="s">
        <v>868</v>
      </c>
      <c r="F14" s="169"/>
      <c r="G14" s="17" t="s">
        <v>869</v>
      </c>
      <c r="H14" s="23" t="s">
        <v>802</v>
      </c>
      <c r="I14" s="23" t="s">
        <v>871</v>
      </c>
      <c r="J14" s="41"/>
      <c r="K14" s="12"/>
      <c r="L14" s="12"/>
      <c r="M14" s="49"/>
      <c r="N14" s="240"/>
      <c r="O14" s="241"/>
      <c r="P14" s="13"/>
      <c r="Q14" s="14" t="str">
        <f t="shared" si="0"/>
        <v>"env_type": "env_type",</v>
      </c>
      <c r="R14" s="14" t="str">
        <f t="shared" si="1"/>
        <v>"env_type": "string",</v>
      </c>
    </row>
    <row r="15" spans="1:18" ht="15.75" customHeight="1" outlineLevel="1">
      <c r="A15" s="37" t="s">
        <v>805</v>
      </c>
      <c r="B15" s="34" t="s">
        <v>78</v>
      </c>
      <c r="C15" s="36"/>
      <c r="D15" s="16" t="s">
        <v>806</v>
      </c>
      <c r="E15" s="168" t="s">
        <v>868</v>
      </c>
      <c r="F15" s="169"/>
      <c r="G15" s="17" t="s">
        <v>869</v>
      </c>
      <c r="H15" s="23" t="s">
        <v>805</v>
      </c>
      <c r="I15" s="23" t="s">
        <v>871</v>
      </c>
      <c r="J15" s="41"/>
      <c r="K15" s="12"/>
      <c r="L15" s="12"/>
      <c r="M15" s="49"/>
      <c r="N15" s="42"/>
      <c r="O15" s="43"/>
      <c r="P15" s="13"/>
      <c r="Q15" s="14" t="str">
        <f t="shared" si="0"/>
        <v>"subject_domain": "subject_domain",</v>
      </c>
      <c r="R15" s="14" t="str">
        <f t="shared" si="1"/>
        <v>"subject_domain": "string",</v>
      </c>
    </row>
    <row r="16" spans="1:18" ht="15.75" customHeight="1" outlineLevel="1">
      <c r="A16" s="37" t="s">
        <v>808</v>
      </c>
      <c r="B16" s="34" t="s">
        <v>809</v>
      </c>
      <c r="C16" s="36"/>
      <c r="D16" s="16" t="s">
        <v>810</v>
      </c>
      <c r="E16" s="168" t="s">
        <v>868</v>
      </c>
      <c r="F16" s="169"/>
      <c r="G16" s="17" t="s">
        <v>869</v>
      </c>
      <c r="H16" s="23" t="s">
        <v>808</v>
      </c>
      <c r="I16" s="23" t="s">
        <v>871</v>
      </c>
      <c r="J16" s="41"/>
      <c r="K16" s="12"/>
      <c r="L16" s="12"/>
      <c r="M16" s="49"/>
      <c r="N16" s="42"/>
      <c r="O16" s="43"/>
      <c r="P16" s="13"/>
      <c r="Q16" s="14" t="str">
        <f t="shared" si="0"/>
        <v>"dashboard_still_exists": "dashboard_still_exists",</v>
      </c>
      <c r="R16" s="14" t="str">
        <f t="shared" si="1"/>
        <v>"dashboard_still_exists": "boolean",</v>
      </c>
    </row>
    <row r="17" spans="1:18" ht="15.75" customHeight="1" outlineLevel="1">
      <c r="A17" s="37" t="s">
        <v>872</v>
      </c>
      <c r="B17" s="34" t="s">
        <v>78</v>
      </c>
      <c r="C17" s="36"/>
      <c r="D17" s="16" t="s">
        <v>873</v>
      </c>
      <c r="E17" s="168" t="s">
        <v>781</v>
      </c>
      <c r="F17" s="169"/>
      <c r="G17" s="17" t="s">
        <v>782</v>
      </c>
      <c r="H17" s="23" t="s">
        <v>834</v>
      </c>
      <c r="I17" s="23" t="s">
        <v>874</v>
      </c>
      <c r="J17" s="41"/>
      <c r="K17" s="12"/>
      <c r="L17" s="12"/>
      <c r="M17" s="49"/>
      <c r="N17" s="42"/>
      <c r="O17" s="43"/>
      <c r="P17" s="13"/>
      <c r="Q17" s="14" t="str">
        <f t="shared" si="0"/>
        <v>"Username": "qs_user",</v>
      </c>
      <c r="R17" s="14" t="str">
        <f t="shared" si="1"/>
        <v>"qs_user": "string",</v>
      </c>
    </row>
    <row r="18" spans="1:18" ht="15.75" customHeight="1" outlineLevel="1">
      <c r="A18" s="118" t="s">
        <v>875</v>
      </c>
      <c r="B18" s="119" t="s">
        <v>78</v>
      </c>
      <c r="C18" s="120"/>
      <c r="D18" s="119" t="s">
        <v>876</v>
      </c>
      <c r="E18" s="220" t="s">
        <v>181</v>
      </c>
      <c r="F18" s="221"/>
      <c r="G18" s="121" t="s">
        <v>182</v>
      </c>
      <c r="H18" s="122" t="s">
        <v>872</v>
      </c>
      <c r="I18" s="23" t="s">
        <v>877</v>
      </c>
      <c r="J18" s="41"/>
      <c r="K18" s="12"/>
      <c r="L18" s="12"/>
      <c r="M18" s="49"/>
      <c r="N18" s="42"/>
      <c r="O18" s="43"/>
      <c r="P18" s="13"/>
      <c r="Q18" s="14" t="str">
        <f t="shared" si="0"/>
        <v>"qs_user": "user_short",</v>
      </c>
      <c r="R18" s="14" t="str">
        <f t="shared" si="1"/>
        <v>"user_short": "string",</v>
      </c>
    </row>
    <row r="19" spans="1:18" ht="15.75" customHeight="1" outlineLevel="1">
      <c r="A19" s="37" t="s">
        <v>878</v>
      </c>
      <c r="B19" s="34" t="s">
        <v>78</v>
      </c>
      <c r="C19" s="36"/>
      <c r="D19" s="16" t="s">
        <v>879</v>
      </c>
      <c r="E19" s="168" t="s">
        <v>181</v>
      </c>
      <c r="F19" s="169"/>
      <c r="G19" s="17" t="s">
        <v>182</v>
      </c>
      <c r="H19" s="23" t="s">
        <v>872</v>
      </c>
      <c r="I19" s="23" t="s">
        <v>880</v>
      </c>
      <c r="J19" s="41"/>
      <c r="K19" s="12"/>
      <c r="L19" s="12"/>
      <c r="M19" s="49"/>
      <c r="N19" s="42"/>
      <c r="O19" s="43"/>
      <c r="P19" s="13"/>
      <c r="Q19" s="14" t="str">
        <f t="shared" si="0"/>
        <v>"qs_user": "user_type",</v>
      </c>
      <c r="R19" s="14" t="str">
        <f t="shared" si="1"/>
        <v>"user_type": "string",</v>
      </c>
    </row>
    <row r="20" spans="1:18" ht="15.75" customHeight="1" outlineLevel="1">
      <c r="A20" s="37" t="s">
        <v>881</v>
      </c>
      <c r="B20" s="34" t="s">
        <v>809</v>
      </c>
      <c r="C20" s="36"/>
      <c r="D20" s="16" t="s">
        <v>882</v>
      </c>
      <c r="E20" s="168" t="s">
        <v>181</v>
      </c>
      <c r="F20" s="169"/>
      <c r="G20" s="17" t="s">
        <v>182</v>
      </c>
      <c r="H20" s="23" t="s">
        <v>872</v>
      </c>
      <c r="I20" s="23" t="s">
        <v>883</v>
      </c>
      <c r="J20" s="41"/>
      <c r="K20" s="12"/>
      <c r="L20" s="12"/>
      <c r="M20" s="49"/>
      <c r="N20" s="42"/>
      <c r="O20" s="43"/>
      <c r="P20" s="13"/>
      <c r="Q20" s="14" t="str">
        <f t="shared" si="0"/>
        <v>"qs_user": "is_service_account",</v>
      </c>
      <c r="R20" s="14" t="str">
        <f t="shared" si="1"/>
        <v>"is_service_account": "boolean",</v>
      </c>
    </row>
    <row r="21" spans="1:18" ht="15.75" customHeight="1" outlineLevel="1">
      <c r="A21" s="37" t="s">
        <v>884</v>
      </c>
      <c r="B21" s="34" t="s">
        <v>239</v>
      </c>
      <c r="C21" s="36"/>
      <c r="D21" s="16" t="s">
        <v>885</v>
      </c>
      <c r="E21" s="168" t="s">
        <v>781</v>
      </c>
      <c r="F21" s="169"/>
      <c r="G21" s="17" t="s">
        <v>782</v>
      </c>
      <c r="H21" s="23" t="s">
        <v>817</v>
      </c>
      <c r="I21" s="23"/>
      <c r="J21" s="41"/>
      <c r="K21" s="12"/>
      <c r="L21" s="12"/>
      <c r="M21" s="49"/>
      <c r="N21" s="240"/>
      <c r="O21" s="241"/>
      <c r="P21" s="13"/>
      <c r="Q21" s="14" t="str">
        <f t="shared" si="0"/>
        <v>"eventTime": "event_time_utc",</v>
      </c>
      <c r="R21" s="14" t="str">
        <f t="shared" si="1"/>
        <v>"event_time_utc": "datetime",</v>
      </c>
    </row>
    <row r="22" spans="1:18" ht="15.75" customHeight="1" outlineLevel="1">
      <c r="A22" s="37" t="s">
        <v>886</v>
      </c>
      <c r="B22" s="34" t="s">
        <v>239</v>
      </c>
      <c r="C22" s="36"/>
      <c r="D22" s="34" t="s">
        <v>887</v>
      </c>
      <c r="E22" s="168" t="s">
        <v>181</v>
      </c>
      <c r="F22" s="169"/>
      <c r="G22" s="17" t="s">
        <v>182</v>
      </c>
      <c r="H22" s="23" t="s">
        <v>884</v>
      </c>
      <c r="I22" s="23" t="s">
        <v>888</v>
      </c>
      <c r="J22" s="41"/>
      <c r="K22" s="12"/>
      <c r="L22" s="12"/>
      <c r="M22" s="49"/>
      <c r="N22" s="240"/>
      <c r="O22" s="241"/>
      <c r="P22" s="13"/>
      <c r="Q22" s="14" t="str">
        <f t="shared" si="0"/>
        <v>"event_time_utc": "event_ts_il",</v>
      </c>
      <c r="R22" s="14" t="str">
        <f t="shared" si="1"/>
        <v>"event_ts_il": "datetime",</v>
      </c>
    </row>
    <row r="23" spans="1:18" ht="15.75" customHeight="1" outlineLevel="1">
      <c r="A23" s="37" t="s">
        <v>889</v>
      </c>
      <c r="B23" s="65" t="s">
        <v>530</v>
      </c>
      <c r="C23" s="66"/>
      <c r="D23" s="65" t="s">
        <v>890</v>
      </c>
      <c r="E23" s="168" t="s">
        <v>181</v>
      </c>
      <c r="F23" s="169"/>
      <c r="G23" s="17" t="s">
        <v>182</v>
      </c>
      <c r="H23" s="23" t="s">
        <v>886</v>
      </c>
      <c r="I23" s="23" t="s">
        <v>891</v>
      </c>
      <c r="J23" s="41"/>
      <c r="K23" s="12"/>
      <c r="L23" s="12"/>
      <c r="M23" s="49"/>
      <c r="N23" s="42"/>
      <c r="O23" s="43"/>
      <c r="P23" s="13"/>
      <c r="Q23" s="14" t="str">
        <f t="shared" si="0"/>
        <v>"event_ts_il": "event_date",</v>
      </c>
      <c r="R23" s="14" t="str">
        <f t="shared" si="1"/>
        <v>"event_date": "date",</v>
      </c>
    </row>
    <row r="24" spans="1:18" ht="15.75" customHeight="1" outlineLevel="1">
      <c r="A24" s="37" t="s">
        <v>892</v>
      </c>
      <c r="B24" s="65" t="s">
        <v>111</v>
      </c>
      <c r="C24" s="66"/>
      <c r="D24" s="65" t="s">
        <v>893</v>
      </c>
      <c r="E24" s="168" t="s">
        <v>181</v>
      </c>
      <c r="F24" s="169"/>
      <c r="G24" s="17" t="s">
        <v>182</v>
      </c>
      <c r="H24" s="23" t="s">
        <v>886</v>
      </c>
      <c r="I24" s="23" t="s">
        <v>894</v>
      </c>
      <c r="J24" s="41"/>
      <c r="K24" s="12"/>
      <c r="L24" s="12"/>
      <c r="M24" s="49"/>
      <c r="N24" s="42"/>
      <c r="O24" s="43"/>
      <c r="P24" s="13"/>
      <c r="Q24" s="14" t="str">
        <f t="shared" si="0"/>
        <v>"event_ts_il": "event_hour",</v>
      </c>
      <c r="R24" s="14" t="str">
        <f t="shared" si="1"/>
        <v>"event_hour": "Int64",</v>
      </c>
    </row>
    <row r="25" spans="1:18" ht="15.75" customHeight="1" outlineLevel="1">
      <c r="A25" s="37" t="s">
        <v>895</v>
      </c>
      <c r="B25" s="65" t="s">
        <v>217</v>
      </c>
      <c r="C25" s="66"/>
      <c r="D25" s="65" t="s">
        <v>896</v>
      </c>
      <c r="E25" s="168" t="s">
        <v>181</v>
      </c>
      <c r="F25" s="169"/>
      <c r="G25" s="17" t="s">
        <v>182</v>
      </c>
      <c r="H25" s="23" t="s">
        <v>897</v>
      </c>
      <c r="I25" s="23" t="s">
        <v>898</v>
      </c>
      <c r="J25" s="41"/>
      <c r="K25" s="12"/>
      <c r="L25" s="12"/>
      <c r="M25" s="49"/>
      <c r="N25" s="42"/>
      <c r="O25" s="43"/>
      <c r="P25" s="13"/>
      <c r="Q25" s="14" t="str">
        <f t="shared" si="0"/>
        <v>"qs_user, event_time_utc": "duration_minutes",</v>
      </c>
      <c r="R25" s="14" t="str">
        <f t="shared" si="1"/>
        <v>"duration_minutes": "float64",</v>
      </c>
    </row>
    <row r="26" spans="1:18" ht="15.75" customHeight="1" outlineLevel="1">
      <c r="A26" s="37" t="s">
        <v>899</v>
      </c>
      <c r="B26" s="34" t="s">
        <v>809</v>
      </c>
      <c r="C26" s="36"/>
      <c r="D26" s="67" t="s">
        <v>900</v>
      </c>
      <c r="E26" s="168" t="s">
        <v>181</v>
      </c>
      <c r="F26" s="169"/>
      <c r="G26" s="17" t="s">
        <v>182</v>
      </c>
      <c r="H26" s="23" t="s">
        <v>182</v>
      </c>
      <c r="I26" s="23" t="s">
        <v>901</v>
      </c>
      <c r="J26" s="41"/>
      <c r="K26" s="12"/>
      <c r="L26" s="12"/>
      <c r="M26" s="49"/>
      <c r="N26" s="42"/>
      <c r="O26" s="43"/>
      <c r="P26" s="13"/>
      <c r="Q26" s="14" t="str">
        <f t="shared" si="0"/>
        <v>"N/A": "is_duration_estimated",</v>
      </c>
      <c r="R26" s="14" t="str">
        <f t="shared" si="1"/>
        <v>"is_duration_estimated": "boolean",</v>
      </c>
    </row>
    <row r="27" spans="1:18" ht="15.75" customHeight="1" outlineLevel="1">
      <c r="A27" s="56" t="s">
        <v>902</v>
      </c>
      <c r="B27" s="57" t="s">
        <v>809</v>
      </c>
      <c r="C27" s="58"/>
      <c r="D27" s="134" t="s">
        <v>903</v>
      </c>
      <c r="E27" s="168" t="s">
        <v>181</v>
      </c>
      <c r="F27" s="169"/>
      <c r="G27" s="17" t="s">
        <v>182</v>
      </c>
      <c r="H27" s="61" t="s">
        <v>895</v>
      </c>
      <c r="I27" s="23" t="s">
        <v>904</v>
      </c>
      <c r="J27" s="41"/>
      <c r="K27" s="12"/>
      <c r="L27" s="12"/>
      <c r="M27" s="49"/>
      <c r="N27" s="240"/>
      <c r="O27" s="241"/>
      <c r="P27" s="13"/>
      <c r="Q27" s="14" t="str">
        <f t="shared" si="0"/>
        <v>"duration_minutes": "is_last_in_session",</v>
      </c>
      <c r="R27" s="14" t="str">
        <f t="shared" si="1"/>
        <v>"is_last_in_session": "boolean",</v>
      </c>
    </row>
    <row r="28" spans="1:18" ht="15.75" customHeight="1" outlineLevel="1">
      <c r="A28" s="56" t="s">
        <v>905</v>
      </c>
      <c r="B28" s="59" t="s">
        <v>78</v>
      </c>
      <c r="C28" s="60"/>
      <c r="D28" s="135" t="s">
        <v>906</v>
      </c>
      <c r="E28" s="168" t="s">
        <v>181</v>
      </c>
      <c r="F28" s="169"/>
      <c r="G28" s="17" t="s">
        <v>182</v>
      </c>
      <c r="H28" s="62" t="s">
        <v>907</v>
      </c>
      <c r="I28" s="23" t="s">
        <v>908</v>
      </c>
      <c r="J28" s="41"/>
      <c r="K28" s="12"/>
      <c r="L28" s="12"/>
      <c r="M28" s="49"/>
      <c r="N28" s="240"/>
      <c r="O28" s="241"/>
      <c r="P28" s="13"/>
      <c r="Q28" s="14" t="str">
        <f t="shared" si="0"/>
        <v>"qs_user, session_seq": "session_id",</v>
      </c>
      <c r="R28" s="14" t="str">
        <f t="shared" si="1"/>
        <v>"session_id": "string",</v>
      </c>
    </row>
    <row r="29" spans="1:18" ht="15.75" customHeight="1" outlineLevel="1">
      <c r="A29" s="56" t="s">
        <v>909</v>
      </c>
      <c r="B29" s="59" t="s">
        <v>111</v>
      </c>
      <c r="C29" s="60"/>
      <c r="D29" s="135" t="s">
        <v>910</v>
      </c>
      <c r="E29" s="168" t="s">
        <v>181</v>
      </c>
      <c r="F29" s="169"/>
      <c r="G29" s="17" t="s">
        <v>182</v>
      </c>
      <c r="H29" s="63" t="s">
        <v>897</v>
      </c>
      <c r="I29" s="23" t="s">
        <v>911</v>
      </c>
      <c r="J29" s="41"/>
      <c r="K29" s="12"/>
      <c r="L29" s="12"/>
      <c r="M29" s="49"/>
      <c r="N29" s="240"/>
      <c r="O29" s="241"/>
      <c r="P29" s="13"/>
      <c r="Q29" s="14" t="str">
        <f t="shared" si="0"/>
        <v>"qs_user, event_time_utc": "session_seq",</v>
      </c>
      <c r="R29" s="14" t="str">
        <f t="shared" si="1"/>
        <v>"session_seq": "Int64",</v>
      </c>
    </row>
    <row r="30" spans="1:18" ht="15.75" customHeight="1" outlineLevel="1">
      <c r="A30" s="37" t="s">
        <v>912</v>
      </c>
      <c r="B30" s="34" t="s">
        <v>809</v>
      </c>
      <c r="C30" s="36"/>
      <c r="D30" s="16" t="s">
        <v>913</v>
      </c>
      <c r="E30" s="46" t="s">
        <v>181</v>
      </c>
      <c r="F30" s="47"/>
      <c r="G30" s="17" t="s">
        <v>182</v>
      </c>
      <c r="H30" s="22" t="s">
        <v>897</v>
      </c>
      <c r="I30" s="48" t="s">
        <v>914</v>
      </c>
      <c r="J30" s="41"/>
      <c r="K30" s="12"/>
      <c r="L30" s="12"/>
      <c r="M30" s="45"/>
      <c r="N30" s="42"/>
      <c r="O30" s="43"/>
      <c r="P30" s="13"/>
      <c r="Q30" s="14" t="str">
        <f t="shared" si="0"/>
        <v>"qs_user, event_time_utc": "is_session_start",</v>
      </c>
      <c r="R30" s="14" t="str">
        <f t="shared" si="1"/>
        <v>"is_session_start": "boolean",</v>
      </c>
    </row>
    <row r="31" spans="1:18" ht="15.75" customHeight="1" outlineLevel="1">
      <c r="A31" s="37" t="s">
        <v>915</v>
      </c>
      <c r="B31" s="34" t="s">
        <v>78</v>
      </c>
      <c r="C31" s="36"/>
      <c r="D31" s="34" t="s">
        <v>916</v>
      </c>
      <c r="E31" s="168" t="s">
        <v>781</v>
      </c>
      <c r="F31" s="169"/>
      <c r="G31" s="17" t="s">
        <v>782</v>
      </c>
      <c r="H31" s="22" t="s">
        <v>917</v>
      </c>
      <c r="I31" s="23" t="s">
        <v>918</v>
      </c>
      <c r="J31" s="41"/>
      <c r="K31" s="12"/>
      <c r="L31" s="12"/>
      <c r="M31" s="45"/>
      <c r="N31" s="240"/>
      <c r="O31" s="241"/>
      <c r="P31" s="13"/>
      <c r="Q31" s="14" t="str">
        <f t="shared" si="0"/>
        <v>"serviceEventDetails.eventResponseDetails.dashboardDetails.analysisIdList": "analysis_ids",</v>
      </c>
      <c r="R31" s="14" t="str">
        <f t="shared" si="1"/>
        <v>"analysis_ids": "string",</v>
      </c>
    </row>
    <row r="32" spans="1:18" ht="15.75" customHeight="1" outlineLevel="1">
      <c r="A32" s="38" t="s">
        <v>919</v>
      </c>
      <c r="B32" s="39" t="s">
        <v>78</v>
      </c>
      <c r="C32" s="40"/>
      <c r="D32" s="9" t="s">
        <v>920</v>
      </c>
      <c r="E32" s="168" t="s">
        <v>781</v>
      </c>
      <c r="F32" s="169"/>
      <c r="G32" s="17" t="s">
        <v>782</v>
      </c>
      <c r="H32" s="25" t="s">
        <v>921</v>
      </c>
      <c r="I32" s="24" t="s">
        <v>918</v>
      </c>
      <c r="J32" s="51"/>
      <c r="K32" s="3"/>
      <c r="L32" s="3"/>
      <c r="M32" s="49"/>
      <c r="N32" s="242"/>
      <c r="O32" s="243"/>
      <c r="P32" s="4"/>
      <c r="Q32" s="14" t="str">
        <f t="shared" si="0"/>
        <v>"serviceEventDetails.eventResponseDetails.dashboardDetails.dataSetIdList": "dataset_ids",</v>
      </c>
      <c r="R32" s="14" t="str">
        <f t="shared" si="1"/>
        <v>"dataset_ids": "string",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</sheetData>
  <autoFilter ref="A8:P32" xr:uid="{00000000-0009-0000-0000-000000000000}"/>
  <mergeCells count="59">
    <mergeCell ref="E29:F29"/>
    <mergeCell ref="N29:O29"/>
    <mergeCell ref="E31:F31"/>
    <mergeCell ref="N31:O31"/>
    <mergeCell ref="E32:F32"/>
    <mergeCell ref="N32:O32"/>
    <mergeCell ref="E25:F25"/>
    <mergeCell ref="E26:F26"/>
    <mergeCell ref="E27:F27"/>
    <mergeCell ref="N27:O27"/>
    <mergeCell ref="E28:F28"/>
    <mergeCell ref="N28:O28"/>
    <mergeCell ref="E21:F21"/>
    <mergeCell ref="N21:O21"/>
    <mergeCell ref="E22:F22"/>
    <mergeCell ref="N22:O22"/>
    <mergeCell ref="E23:F23"/>
    <mergeCell ref="E24:F24"/>
    <mergeCell ref="E15:F15"/>
    <mergeCell ref="E16:F16"/>
    <mergeCell ref="E17:F17"/>
    <mergeCell ref="E18:F18"/>
    <mergeCell ref="E19:F19"/>
    <mergeCell ref="E20:F20"/>
    <mergeCell ref="E12:F12"/>
    <mergeCell ref="N12:O12"/>
    <mergeCell ref="E13:F13"/>
    <mergeCell ref="N13:O13"/>
    <mergeCell ref="E14:F14"/>
    <mergeCell ref="N14:O14"/>
    <mergeCell ref="E9:F9"/>
    <mergeCell ref="N9:O9"/>
    <mergeCell ref="E10:F10"/>
    <mergeCell ref="N10:O10"/>
    <mergeCell ref="E11:F11"/>
    <mergeCell ref="N11:O11"/>
    <mergeCell ref="B7:D7"/>
    <mergeCell ref="E7:I7"/>
    <mergeCell ref="J7:L7"/>
    <mergeCell ref="N7:P7"/>
    <mergeCell ref="E8:F8"/>
    <mergeCell ref="N8:O8"/>
    <mergeCell ref="Q2:Q5"/>
    <mergeCell ref="R2:R5"/>
    <mergeCell ref="C3:C5"/>
    <mergeCell ref="D3:D5"/>
    <mergeCell ref="F3:G3"/>
    <mergeCell ref="F4:G4"/>
    <mergeCell ref="F5:G5"/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</mergeCells>
  <conditionalFormatting sqref="A9 A30:A32">
    <cfRule type="expression" dxfId="16" priority="4">
      <formula>M9 = "On Hold"</formula>
    </cfRule>
  </conditionalFormatting>
  <conditionalFormatting sqref="A11:A26">
    <cfRule type="expression" dxfId="15" priority="1">
      <formula>M11 = "On Hold"</formula>
    </cfRule>
  </conditionalFormatting>
  <conditionalFormatting sqref="B2:B5 J9:P32">
    <cfRule type="cellIs" dxfId="14" priority="2" operator="equal">
      <formula>"Done"</formula>
    </cfRule>
    <cfRule type="cellIs" dxfId="13" priority="3" operator="equal">
      <formula>"On Hold"</formula>
    </cfRule>
    <cfRule type="cellIs" dxfId="12" priority="5" operator="equal">
      <formula>"Ready for Review"</formula>
    </cfRule>
    <cfRule type="cellIs" dxfId="11" priority="6" operator="equal">
      <formula>"In Review"</formula>
    </cfRule>
  </conditionalFormatting>
  <dataValidations count="7">
    <dataValidation type="list" allowBlank="1" showErrorMessage="1" sqref="B2" xr:uid="{B1CD1516-5885-40D1-97DE-4FFD503B515B}">
      <formula1>STT_Statuses</formula1>
    </dataValidation>
    <dataValidation type="list" allowBlank="1" sqref="B4:B5" xr:uid="{BD96975C-F7B0-4600-8352-036A4E214E26}">
      <formula1>ETL_Statuses</formula1>
    </dataValidation>
    <dataValidation type="list" allowBlank="1" sqref="B3 M9:M32" xr:uid="{A24BDE5D-303A-4B60-B17F-C68334ACE36E}">
      <formula1>Statuses</formula1>
    </dataValidation>
    <dataValidation type="list" allowBlank="1" sqref="N9:N32" xr:uid="{837AB938-45FC-49C6-917D-758C720FEFD6}">
      <formula1>Categories</formula1>
    </dataValidation>
    <dataValidation type="list" allowBlank="1" sqref="P9:P32" xr:uid="{B7B04EF5-0539-4775-B9D6-8C03739BB89E}">
      <formula1>Versions</formula1>
    </dataValidation>
    <dataValidation type="list" allowBlank="1" sqref="B30:B32 B9:B26" xr:uid="{B87F18E9-8B22-4A10-A152-CA1D771700FA}">
      <formula1>Data_Types</formula1>
    </dataValidation>
    <dataValidation type="list" allowBlank="1" sqref="E9:E32" xr:uid="{F5E0EBCA-A23B-45BA-81AF-09DCF686AF61}">
      <formula1>Sources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85837-8C15-43EC-B078-619EE9540770}">
  <sheetPr>
    <tabColor rgb="FFFF0000"/>
    <outlinePr summaryBelow="0" summaryRight="0"/>
  </sheetPr>
  <dimension ref="A1:R148"/>
  <sheetViews>
    <sheetView workbookViewId="0">
      <pane xSplit="1" ySplit="8" topLeftCell="B9" activePane="bottomRight" state="frozen"/>
      <selection pane="bottomRight" activeCell="E11" sqref="D11:F11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28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922</v>
      </c>
      <c r="E3" s="148"/>
      <c r="F3" s="150"/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/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64" t="s">
        <v>744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 outlineLevel="1">
      <c r="A9" s="142" t="s">
        <v>923</v>
      </c>
      <c r="B9" s="142" t="s">
        <v>78</v>
      </c>
      <c r="C9" s="36" t="e" vm="1">
        <v>#VALUE!</v>
      </c>
      <c r="D9" s="141" t="s">
        <v>924</v>
      </c>
      <c r="E9" s="168" t="s">
        <v>312</v>
      </c>
      <c r="F9" s="169"/>
      <c r="G9" s="17" t="s">
        <v>922</v>
      </c>
      <c r="H9" s="17" t="s">
        <v>925</v>
      </c>
      <c r="I9" s="23"/>
      <c r="J9" s="41"/>
      <c r="K9" s="12"/>
      <c r="L9" s="12"/>
      <c r="M9" s="49"/>
      <c r="N9" s="240" t="s">
        <v>82</v>
      </c>
      <c r="O9" s="241"/>
      <c r="P9" s="13" t="s">
        <v>83</v>
      </c>
      <c r="Q9" s="14" t="str">
        <f>CONCATENATE($Q$2,H9,$R$2,A9,$Q$2,",")</f>
        <v>"new_supporttesttypeid": "support_test_type_code",</v>
      </c>
      <c r="R9" s="14" t="str">
        <f>CONCATENATE($Q$2,A9,$R$2,B9,$Q$2,",")</f>
        <v>"support_test_type_code": "string",</v>
      </c>
    </row>
    <row r="10" spans="1:18" ht="15.75" customHeight="1" outlineLevel="1">
      <c r="A10" s="37" t="s">
        <v>926</v>
      </c>
      <c r="B10" s="34" t="s">
        <v>78</v>
      </c>
      <c r="C10" s="36"/>
      <c r="D10" s="34" t="s">
        <v>927</v>
      </c>
      <c r="E10" s="168" t="s">
        <v>312</v>
      </c>
      <c r="F10" s="169"/>
      <c r="G10" s="17" t="s">
        <v>922</v>
      </c>
      <c r="H10" s="23" t="s">
        <v>928</v>
      </c>
      <c r="I10" s="23"/>
      <c r="J10" s="41"/>
      <c r="K10" s="12"/>
      <c r="L10" s="12"/>
      <c r="M10" s="49"/>
      <c r="N10" s="240"/>
      <c r="O10" s="241"/>
      <c r="P10" s="13"/>
      <c r="Q10" s="14" t="str">
        <f t="shared" ref="Q10:Q20" si="0">CONCATENATE($Q$2,H10,$R$2,A10,$Q$2,",")</f>
        <v>"new_t_supporttest": "support_test",</v>
      </c>
      <c r="R10" s="14" t="str">
        <f t="shared" ref="R10:R20" si="1">CONCATENATE($Q$2,A10,$R$2,B10,$Q$2,",")</f>
        <v>"support_test": "string",</v>
      </c>
    </row>
    <row r="11" spans="1:18" ht="15.75" customHeight="1" outlineLevel="1">
      <c r="A11" s="37" t="s">
        <v>929</v>
      </c>
      <c r="B11" s="34" t="s">
        <v>111</v>
      </c>
      <c r="C11" s="36"/>
      <c r="D11" s="143" t="s">
        <v>706</v>
      </c>
      <c r="E11" s="168" t="s">
        <v>312</v>
      </c>
      <c r="F11" s="169"/>
      <c r="G11" s="17" t="s">
        <v>922</v>
      </c>
      <c r="H11" s="23" t="s">
        <v>573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"_new_id_supportyear_value_label": "support_year",</v>
      </c>
      <c r="R11" s="14" t="str">
        <f t="shared" si="1"/>
        <v>"support_year": "Int64",</v>
      </c>
    </row>
    <row r="12" spans="1:18" ht="15.75" customHeight="1" outlineLevel="1">
      <c r="A12" s="37" t="s">
        <v>930</v>
      </c>
      <c r="B12" s="34" t="s">
        <v>78</v>
      </c>
      <c r="C12" s="36"/>
      <c r="D12" s="144" t="s">
        <v>931</v>
      </c>
      <c r="E12" s="168" t="s">
        <v>312</v>
      </c>
      <c r="F12" s="169"/>
      <c r="G12" s="17" t="s">
        <v>922</v>
      </c>
      <c r="H12" s="23" t="s">
        <v>932</v>
      </c>
      <c r="I12" s="23"/>
      <c r="J12" s="41"/>
      <c r="K12" s="12"/>
      <c r="L12" s="12"/>
      <c r="M12" s="49"/>
      <c r="N12" s="42"/>
      <c r="O12" s="43"/>
      <c r="P12" s="13"/>
      <c r="Q12" s="14" t="str">
        <f t="shared" si="0"/>
        <v>"_new_id_system_value_label": "permission_system_code",</v>
      </c>
      <c r="R12" s="14" t="str">
        <f t="shared" si="1"/>
        <v>"permission_system_code": "string",</v>
      </c>
    </row>
    <row r="13" spans="1:18" ht="15.75" customHeight="1" outlineLevel="1">
      <c r="A13" s="37" t="s">
        <v>933</v>
      </c>
      <c r="B13" s="34" t="s">
        <v>111</v>
      </c>
      <c r="C13" s="36"/>
      <c r="D13" s="144" t="s">
        <v>934</v>
      </c>
      <c r="E13" s="168" t="s">
        <v>312</v>
      </c>
      <c r="F13" s="169"/>
      <c r="G13" s="17" t="s">
        <v>922</v>
      </c>
      <c r="H13" s="23" t="s">
        <v>935</v>
      </c>
      <c r="I13" s="23"/>
      <c r="J13" s="41"/>
      <c r="K13" s="12"/>
      <c r="L13" s="12"/>
      <c r="M13" s="49"/>
      <c r="N13" s="42"/>
      <c r="O13" s="43"/>
      <c r="P13" s="13"/>
      <c r="Q13" s="14" t="str">
        <f t="shared" si="0"/>
        <v>"new_i_testtype": "test_type",</v>
      </c>
      <c r="R13" s="14" t="str">
        <f t="shared" si="1"/>
        <v>"test_type": "Int64",</v>
      </c>
    </row>
    <row r="14" spans="1:18" ht="15.75" customHeight="1" outlineLevel="1">
      <c r="A14" s="34" t="s">
        <v>936</v>
      </c>
      <c r="B14" s="34" t="s">
        <v>78</v>
      </c>
      <c r="C14" s="36"/>
      <c r="D14" s="143" t="s">
        <v>937</v>
      </c>
      <c r="E14" s="46" t="s">
        <v>312</v>
      </c>
      <c r="F14" s="46"/>
      <c r="G14" s="17" t="s">
        <v>922</v>
      </c>
      <c r="H14" s="23" t="s">
        <v>938</v>
      </c>
      <c r="I14" s="23"/>
      <c r="J14" s="41"/>
      <c r="K14" s="12"/>
      <c r="L14" s="12"/>
      <c r="M14" s="49"/>
      <c r="N14" s="42"/>
      <c r="O14" s="43"/>
      <c r="P14" s="13"/>
      <c r="Q14" s="14"/>
      <c r="R14" s="14"/>
    </row>
    <row r="15" spans="1:18" ht="15.75" customHeight="1" outlineLevel="1">
      <c r="A15" s="37" t="s">
        <v>335</v>
      </c>
      <c r="B15" s="34" t="s">
        <v>111</v>
      </c>
      <c r="C15" s="36"/>
      <c r="D15" s="144" t="s">
        <v>336</v>
      </c>
      <c r="E15" s="168" t="s">
        <v>312</v>
      </c>
      <c r="F15" s="169"/>
      <c r="G15" s="17" t="s">
        <v>922</v>
      </c>
      <c r="H15" s="23" t="s">
        <v>337</v>
      </c>
      <c r="I15" s="23"/>
      <c r="J15" s="41"/>
      <c r="K15" s="12"/>
      <c r="L15" s="12"/>
      <c r="M15" s="49"/>
      <c r="N15" s="42"/>
      <c r="O15" s="43"/>
      <c r="P15" s="13"/>
      <c r="Q15" s="14" t="str">
        <f t="shared" si="0"/>
        <v>"statecode": "is_inactive",</v>
      </c>
      <c r="R15" s="14" t="str">
        <f t="shared" si="1"/>
        <v>"is_inactive": "Int64",</v>
      </c>
    </row>
    <row r="16" spans="1:18" ht="15.75" customHeight="1" outlineLevel="1">
      <c r="A16" s="37" t="s">
        <v>338</v>
      </c>
      <c r="B16" s="34" t="s">
        <v>111</v>
      </c>
      <c r="C16" s="36"/>
      <c r="D16" s="143" t="s">
        <v>340</v>
      </c>
      <c r="E16" s="168" t="s">
        <v>312</v>
      </c>
      <c r="F16" s="169"/>
      <c r="G16" s="17" t="s">
        <v>922</v>
      </c>
      <c r="H16" s="23" t="s">
        <v>341</v>
      </c>
      <c r="I16" s="23"/>
      <c r="J16" s="41"/>
      <c r="K16" s="12"/>
      <c r="L16" s="12"/>
      <c r="M16" s="49"/>
      <c r="N16" s="42"/>
      <c r="O16" s="43"/>
      <c r="P16" s="13"/>
      <c r="Q16" s="14" t="e">
        <f>CONCATENATE($Q$2,#REF!,$R$2,#REF!,$Q$2,",")</f>
        <v>#REF!</v>
      </c>
      <c r="R16" s="14" t="e">
        <f>CONCATENATE($Q$2,#REF!,$R$2,#REF!,$Q$2,",")</f>
        <v>#REF!</v>
      </c>
    </row>
    <row r="17" spans="1:18" ht="15.75" customHeight="1" outlineLevel="1">
      <c r="A17" s="37" t="s">
        <v>342</v>
      </c>
      <c r="B17" s="34" t="s">
        <v>239</v>
      </c>
      <c r="C17" s="36"/>
      <c r="D17" s="16" t="s">
        <v>343</v>
      </c>
      <c r="E17" s="168" t="s">
        <v>312</v>
      </c>
      <c r="F17" s="169"/>
      <c r="G17" s="17" t="s">
        <v>922</v>
      </c>
      <c r="H17" s="23" t="s">
        <v>344</v>
      </c>
      <c r="I17" s="23"/>
      <c r="J17" s="41"/>
      <c r="K17" s="12"/>
      <c r="L17" s="12"/>
      <c r="M17" s="49"/>
      <c r="N17" s="240"/>
      <c r="O17" s="241"/>
      <c r="P17" s="13"/>
      <c r="Q17" s="14" t="e">
        <f>CONCATENATE($Q$2,#REF!,$R$2,#REF!,$Q$2,",")</f>
        <v>#REF!</v>
      </c>
      <c r="R17" s="14" t="e">
        <f>CONCATENATE($Q$2,#REF!,$R$2,#REF!,$Q$2,",")</f>
        <v>#REF!</v>
      </c>
    </row>
    <row r="18" spans="1:18" ht="15.75" customHeight="1" outlineLevel="1">
      <c r="A18" s="37"/>
      <c r="B18" s="34"/>
      <c r="C18" s="36"/>
      <c r="D18" s="16"/>
      <c r="E18" s="46"/>
      <c r="F18" s="47"/>
      <c r="G18" s="17"/>
      <c r="H18" s="22"/>
      <c r="I18" s="48"/>
      <c r="J18" s="41"/>
      <c r="K18" s="12"/>
      <c r="L18" s="12"/>
      <c r="M18" s="45"/>
      <c r="N18" s="42"/>
      <c r="O18" s="43"/>
      <c r="P18" s="13"/>
      <c r="Q18" s="14" t="str">
        <f t="shared" si="0"/>
        <v>"": "",</v>
      </c>
      <c r="R18" s="14" t="str">
        <f t="shared" si="1"/>
        <v>"": "",</v>
      </c>
    </row>
    <row r="19" spans="1:18" ht="15.75" customHeight="1" outlineLevel="1">
      <c r="A19" s="37"/>
      <c r="B19" s="34"/>
      <c r="C19" s="36"/>
      <c r="D19" s="34"/>
      <c r="E19" s="168"/>
      <c r="F19" s="169"/>
      <c r="G19" s="17"/>
      <c r="H19" s="22"/>
      <c r="I19" s="23"/>
      <c r="J19" s="41"/>
      <c r="K19" s="12"/>
      <c r="L19" s="12"/>
      <c r="M19" s="45"/>
      <c r="N19" s="240"/>
      <c r="O19" s="241"/>
      <c r="P19" s="13"/>
      <c r="Q19" s="14" t="str">
        <f t="shared" si="0"/>
        <v>"": "",</v>
      </c>
      <c r="R19" s="14" t="str">
        <f t="shared" si="1"/>
        <v>"": "",</v>
      </c>
    </row>
    <row r="20" spans="1:18" ht="15.75" customHeight="1" outlineLevel="1">
      <c r="A20" s="38" t="s">
        <v>64</v>
      </c>
      <c r="B20" s="39"/>
      <c r="C20" s="40"/>
      <c r="D20" s="9"/>
      <c r="E20" s="168"/>
      <c r="F20" s="169"/>
      <c r="G20" s="17"/>
      <c r="H20" s="25"/>
      <c r="I20" s="24"/>
      <c r="J20" s="51"/>
      <c r="K20" s="3"/>
      <c r="L20" s="3"/>
      <c r="M20" s="49"/>
      <c r="N20" s="242"/>
      <c r="O20" s="243"/>
      <c r="P20" s="4"/>
      <c r="Q20" s="14" t="str">
        <f t="shared" si="0"/>
        <v>"": "Leave Empty",</v>
      </c>
      <c r="R20" s="14" t="str">
        <f t="shared" si="1"/>
        <v>"Leave Empty": "",</v>
      </c>
    </row>
    <row r="21" spans="1:18" ht="15.75" customHeight="1">
      <c r="E21" s="170"/>
      <c r="F21" s="146"/>
      <c r="G21" s="171"/>
      <c r="H21" s="155"/>
      <c r="I21" s="26"/>
      <c r="N21" s="226"/>
      <c r="O21" s="226"/>
    </row>
    <row r="22" spans="1:18" ht="15.75" customHeight="1"/>
    <row r="23" spans="1:18" ht="15.75" customHeight="1"/>
    <row r="24" spans="1:18" ht="15.75" customHeight="1"/>
    <row r="25" spans="1:18" ht="15.75" customHeight="1"/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</sheetData>
  <autoFilter ref="A8:P20" xr:uid="{00000000-0009-0000-0000-000000000000}"/>
  <mergeCells count="42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R2:R5"/>
    <mergeCell ref="C3:C5"/>
    <mergeCell ref="D3:D5"/>
    <mergeCell ref="F3:G3"/>
    <mergeCell ref="F4:G4"/>
    <mergeCell ref="F5:G5"/>
    <mergeCell ref="B7:D7"/>
    <mergeCell ref="E7:I7"/>
    <mergeCell ref="J7:L7"/>
    <mergeCell ref="N7:P7"/>
    <mergeCell ref="E8:F8"/>
    <mergeCell ref="N8:O8"/>
    <mergeCell ref="N17:O17"/>
    <mergeCell ref="E9:F9"/>
    <mergeCell ref="N9:O9"/>
    <mergeCell ref="E12:F12"/>
    <mergeCell ref="E13:F13"/>
    <mergeCell ref="E15:F15"/>
    <mergeCell ref="E16:F16"/>
    <mergeCell ref="E17:F17"/>
    <mergeCell ref="E10:F10"/>
    <mergeCell ref="N10:O10"/>
    <mergeCell ref="E11:F11"/>
    <mergeCell ref="N11:O11"/>
    <mergeCell ref="E21:F21"/>
    <mergeCell ref="G21:H21"/>
    <mergeCell ref="N21:O21"/>
    <mergeCell ref="E19:F19"/>
    <mergeCell ref="N19:O19"/>
    <mergeCell ref="E20:F20"/>
    <mergeCell ref="N20:O20"/>
  </mergeCells>
  <conditionalFormatting sqref="A10:A13 A15 A18:A20">
    <cfRule type="expression" dxfId="10" priority="4">
      <formula>M10 = "On Hold"</formula>
    </cfRule>
  </conditionalFormatting>
  <conditionalFormatting sqref="A16:A17">
    <cfRule type="expression" dxfId="9" priority="52">
      <formula>#REF! = "On Hold"</formula>
    </cfRule>
  </conditionalFormatting>
  <conditionalFormatting sqref="B2:B5 J9:P20">
    <cfRule type="cellIs" dxfId="8" priority="2" operator="equal">
      <formula>"Done"</formula>
    </cfRule>
    <cfRule type="cellIs" dxfId="7" priority="3" operator="equal">
      <formula>"On Hold"</formula>
    </cfRule>
    <cfRule type="cellIs" dxfId="6" priority="5" operator="equal">
      <formula>"Ready for Review"</formula>
    </cfRule>
    <cfRule type="cellIs" dxfId="5" priority="6" operator="equal">
      <formula>"In Review"</formula>
    </cfRule>
  </conditionalFormatting>
  <dataValidations count="7">
    <dataValidation type="list" allowBlank="1" sqref="B3 M9:M20" xr:uid="{A32BC94D-9565-4623-A506-F8752E577D77}">
      <formula1>Statuses</formula1>
    </dataValidation>
    <dataValidation type="list" allowBlank="1" sqref="B4:B5" xr:uid="{4F6063D4-3D97-4D7E-8129-53E261B5C055}">
      <formula1>ETL_Statuses</formula1>
    </dataValidation>
    <dataValidation type="list" allowBlank="1" showErrorMessage="1" sqref="B2" xr:uid="{E99E31A0-34FD-49DA-825A-AF1007999765}">
      <formula1>STT_Statuses</formula1>
    </dataValidation>
    <dataValidation type="list" allowBlank="1" sqref="B10:B20" xr:uid="{09ABED06-552A-4385-9514-AD9B2CEDA504}">
      <formula1>Data_Types</formula1>
    </dataValidation>
    <dataValidation type="list" allowBlank="1" sqref="E9:E20 F14" xr:uid="{F2170F08-CB8E-4D38-96C0-4AEB139BE833}">
      <formula1>Sources</formula1>
    </dataValidation>
    <dataValidation type="list" allowBlank="1" sqref="P9:P20" xr:uid="{36504D51-AC80-4F01-A8C3-0C22ADC84CA2}">
      <formula1>Versions</formula1>
    </dataValidation>
    <dataValidation type="list" allowBlank="1" sqref="N9:N20" xr:uid="{66FEE0A5-671D-4346-929B-A4C8E5E2732C}">
      <formula1>Categories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53C1C-0AA6-41BF-AA8E-BFA9C0FE22B1}">
  <sheetPr>
    <tabColor rgb="FFFF0000"/>
    <outlinePr summaryBelow="0" summaryRight="0"/>
  </sheetPr>
  <dimension ref="A1:R152"/>
  <sheetViews>
    <sheetView workbookViewId="0">
      <pane xSplit="1" ySplit="8" topLeftCell="B9" activePane="bottomRight" state="frozen"/>
      <selection pane="bottomRight" activeCell="A22" sqref="A22"/>
      <selection pane="bottomLeft" activeCell="A9" sqref="A9"/>
      <selection pane="topRight" activeCell="B1" sqref="B1"/>
    </sheetView>
  </sheetViews>
  <sheetFormatPr defaultColWidth="12.7109375" defaultRowHeight="15" customHeight="1" outlineLevelRow="1" outlineLevelCol="1"/>
  <cols>
    <col min="1" max="1" width="35.7109375" style="18" customWidth="1"/>
    <col min="2" max="2" width="16.28515625" style="18" customWidth="1" outlineLevel="1"/>
    <col min="3" max="3" width="7" style="18" customWidth="1" outlineLevel="1"/>
    <col min="4" max="4" width="31.85546875" style="18" customWidth="1" outlineLevel="1"/>
    <col min="5" max="5" width="2.28515625" style="21" customWidth="1"/>
    <col min="6" max="6" width="12.7109375" style="44" customWidth="1" outlineLevel="1"/>
    <col min="7" max="7" width="18.140625" style="27" customWidth="1" outlineLevel="1"/>
    <col min="8" max="8" width="30.7109375" style="18" customWidth="1" outlineLevel="1"/>
    <col min="9" max="9" width="33.140625" style="18" customWidth="1" outlineLevel="1"/>
    <col min="10" max="10" width="5.85546875" hidden="1" customWidth="1" outlineLevel="1"/>
    <col min="11" max="11" width="5" hidden="1" customWidth="1" outlineLevel="1"/>
    <col min="12" max="12" width="11.7109375" hidden="1" customWidth="1" outlineLevel="1"/>
    <col min="13" max="13" width="2.28515625" customWidth="1"/>
    <col min="14" max="14" width="2.28515625" customWidth="1" collapsed="1"/>
    <col min="15" max="15" width="10.7109375" hidden="1" customWidth="1" outlineLevel="1"/>
    <col min="16" max="16" width="11" hidden="1" customWidth="1" outlineLevel="1"/>
    <col min="17" max="18" width="47.7109375" customWidth="1"/>
  </cols>
  <sheetData>
    <row r="1" spans="1:18" ht="5.25" customHeight="1" outlineLevel="1">
      <c r="A1" s="28"/>
      <c r="B1" s="154"/>
      <c r="C1" s="155"/>
      <c r="D1" s="155"/>
      <c r="E1" s="156"/>
      <c r="F1" s="155"/>
      <c r="G1" s="155"/>
      <c r="H1" s="155"/>
      <c r="I1" s="155"/>
      <c r="J1" s="2"/>
      <c r="K1" s="2"/>
      <c r="L1" s="2"/>
      <c r="M1" s="2"/>
      <c r="N1" s="157"/>
      <c r="O1" s="226"/>
      <c r="P1" s="226"/>
    </row>
    <row r="2" spans="1:18" ht="15.75" customHeight="1" outlineLevel="1">
      <c r="A2" s="29" t="s">
        <v>0</v>
      </c>
      <c r="B2" s="29" t="s">
        <v>1</v>
      </c>
      <c r="C2" s="30" t="e">
        <f>COUNTIF(#REF!,"In Progress")</f>
        <v>#REF!</v>
      </c>
      <c r="D2" s="31" t="s">
        <v>2</v>
      </c>
      <c r="E2" s="158" t="s">
        <v>65</v>
      </c>
      <c r="F2" s="152" t="s">
        <v>4</v>
      </c>
      <c r="G2" s="153"/>
      <c r="H2" s="19" t="s">
        <v>5</v>
      </c>
      <c r="I2" s="20"/>
      <c r="J2" s="159"/>
      <c r="K2" s="227"/>
      <c r="L2" s="228"/>
      <c r="M2" s="160" t="s">
        <v>66</v>
      </c>
      <c r="N2" s="161" t="s">
        <v>67</v>
      </c>
      <c r="O2" s="162"/>
      <c r="P2" s="228"/>
      <c r="Q2" s="222" t="s">
        <v>68</v>
      </c>
      <c r="R2" s="229" t="s">
        <v>69</v>
      </c>
    </row>
    <row r="3" spans="1:18" ht="15.75" customHeight="1" outlineLevel="1">
      <c r="A3" s="29" t="s">
        <v>8</v>
      </c>
      <c r="B3" s="29"/>
      <c r="C3" s="146"/>
      <c r="D3" s="147" t="s">
        <v>939</v>
      </c>
      <c r="E3" s="148"/>
      <c r="F3" s="150"/>
      <c r="G3" s="151"/>
      <c r="H3" s="19" t="s">
        <v>11</v>
      </c>
      <c r="I3" s="20"/>
      <c r="J3" s="230"/>
      <c r="K3" s="229"/>
      <c r="L3" s="231"/>
      <c r="M3" s="232"/>
      <c r="N3" s="232"/>
      <c r="O3" s="230"/>
      <c r="P3" s="231"/>
      <c r="Q3" s="222"/>
      <c r="R3" s="229"/>
    </row>
    <row r="4" spans="1:18" ht="15.75" customHeight="1" outlineLevel="1">
      <c r="A4" s="29" t="s">
        <v>12</v>
      </c>
      <c r="B4" s="29"/>
      <c r="C4" s="146"/>
      <c r="D4" s="148"/>
      <c r="E4" s="148"/>
      <c r="F4" s="152" t="s">
        <v>13</v>
      </c>
      <c r="G4" s="153"/>
      <c r="H4" s="19" t="s">
        <v>14</v>
      </c>
      <c r="I4" s="20"/>
      <c r="J4" s="230"/>
      <c r="K4" s="229"/>
      <c r="L4" s="231"/>
      <c r="M4" s="232"/>
      <c r="N4" s="232"/>
      <c r="O4" s="230"/>
      <c r="P4" s="231"/>
      <c r="Q4" s="222"/>
      <c r="R4" s="229"/>
    </row>
    <row r="5" spans="1:18" ht="15.75" customHeight="1" outlineLevel="1">
      <c r="A5" s="29" t="s">
        <v>15</v>
      </c>
      <c r="B5" s="29"/>
      <c r="C5" s="146"/>
      <c r="D5" s="149"/>
      <c r="E5" s="148"/>
      <c r="F5" s="150" t="s">
        <v>362</v>
      </c>
      <c r="G5" s="151"/>
      <c r="H5" s="19" t="s">
        <v>17</v>
      </c>
      <c r="I5" s="20"/>
      <c r="J5" s="230"/>
      <c r="K5" s="229"/>
      <c r="L5" s="231"/>
      <c r="M5" s="232"/>
      <c r="N5" s="232"/>
      <c r="O5" s="230"/>
      <c r="P5" s="231"/>
      <c r="Q5" s="223"/>
      <c r="R5" s="233"/>
    </row>
    <row r="6" spans="1:18" ht="15.75" customHeight="1" outlineLevel="1">
      <c r="A6" s="21"/>
      <c r="B6" s="21"/>
      <c r="C6" s="32" t="e" vm="1">
        <v>#VALUE!</v>
      </c>
      <c r="D6" s="21"/>
      <c r="E6" s="149"/>
      <c r="F6" s="146"/>
      <c r="G6" s="146"/>
      <c r="H6" s="146"/>
      <c r="I6" s="146"/>
      <c r="J6" s="234"/>
      <c r="K6" s="235"/>
      <c r="L6" s="236"/>
      <c r="M6" s="237"/>
      <c r="N6" s="237"/>
      <c r="O6" s="234"/>
      <c r="P6" s="236"/>
      <c r="Q6" s="10" t="s">
        <v>19</v>
      </c>
      <c r="R6" s="10" t="s">
        <v>19</v>
      </c>
    </row>
    <row r="7" spans="1:18" ht="15.75" customHeight="1">
      <c r="A7" s="33" t="s">
        <v>20</v>
      </c>
      <c r="B7" s="163" t="s">
        <v>20</v>
      </c>
      <c r="C7" s="164"/>
      <c r="D7" s="164"/>
      <c r="E7" s="165" t="s">
        <v>71</v>
      </c>
      <c r="F7" s="164"/>
      <c r="G7" s="164"/>
      <c r="H7" s="164"/>
      <c r="I7" s="166"/>
      <c r="J7" s="238"/>
      <c r="K7" s="238"/>
      <c r="L7" s="239"/>
      <c r="M7" s="53" t="s">
        <v>72</v>
      </c>
      <c r="N7" s="167" t="s">
        <v>73</v>
      </c>
      <c r="O7" s="238"/>
      <c r="P7" s="239"/>
      <c r="Q7" s="64" t="s">
        <v>744</v>
      </c>
      <c r="R7" s="11"/>
    </row>
    <row r="8" spans="1:18" ht="15.75" customHeight="1">
      <c r="A8" s="34" t="s">
        <v>24</v>
      </c>
      <c r="B8" s="34" t="s">
        <v>25</v>
      </c>
      <c r="C8" s="34" t="s">
        <v>26</v>
      </c>
      <c r="D8" s="35" t="s">
        <v>27</v>
      </c>
      <c r="E8" s="168" t="s">
        <v>28</v>
      </c>
      <c r="F8" s="166"/>
      <c r="G8" s="17" t="s">
        <v>29</v>
      </c>
      <c r="H8" s="22" t="s">
        <v>30</v>
      </c>
      <c r="I8" s="23" t="s">
        <v>31</v>
      </c>
      <c r="J8" s="50"/>
      <c r="K8" s="12" t="s">
        <v>29</v>
      </c>
      <c r="L8" s="12" t="s">
        <v>24</v>
      </c>
      <c r="M8" s="52" t="s">
        <v>74</v>
      </c>
      <c r="N8" s="240" t="s">
        <v>75</v>
      </c>
      <c r="O8" s="239"/>
      <c r="P8" s="13" t="s">
        <v>76</v>
      </c>
      <c r="Q8" s="14" t="str">
        <f>"("</f>
        <v>(</v>
      </c>
      <c r="R8" s="14" t="str">
        <f>"("</f>
        <v>(</v>
      </c>
    </row>
    <row r="9" spans="1:18" ht="15.75" customHeight="1">
      <c r="A9" s="34" t="s">
        <v>940</v>
      </c>
      <c r="B9" s="34" t="s">
        <v>78</v>
      </c>
      <c r="C9" s="34" t="e" vm="1">
        <v>#VALUE!</v>
      </c>
      <c r="D9" s="34" t="s">
        <v>941</v>
      </c>
      <c r="E9" s="168" t="s">
        <v>312</v>
      </c>
      <c r="F9" s="169"/>
      <c r="G9" s="17" t="s">
        <v>939</v>
      </c>
      <c r="H9" s="17" t="s">
        <v>942</v>
      </c>
      <c r="I9" s="17"/>
      <c r="J9" s="50"/>
      <c r="K9" s="12"/>
      <c r="L9" s="12"/>
      <c r="M9" s="52"/>
      <c r="N9" s="42"/>
      <c r="O9" s="50"/>
      <c r="P9" s="13"/>
      <c r="Q9" s="14" t="str">
        <f t="shared" ref="Q9:Q24" si="0">CONCATENATE($Q$2,H9,$R$2,A9,$Q$2,",")</f>
        <v>"new_allocationbudgetstoareaandmeasurementid": "allocation_budget_code",</v>
      </c>
      <c r="R9" s="14" t="str">
        <f>CONCATENATE($Q$2,A9,$R$2,B9,$Q$2,",")</f>
        <v>"allocation_budget_code": "string",</v>
      </c>
    </row>
    <row r="10" spans="1:18" ht="15.75" customHeight="1" outlineLevel="1">
      <c r="A10" s="142" t="s">
        <v>923</v>
      </c>
      <c r="B10" s="142" t="s">
        <v>78</v>
      </c>
      <c r="C10" s="36" t="e" vm="1">
        <v>#VALUE!</v>
      </c>
      <c r="D10" s="141" t="s">
        <v>943</v>
      </c>
      <c r="E10" s="168" t="s">
        <v>312</v>
      </c>
      <c r="F10" s="169"/>
      <c r="G10" s="17" t="s">
        <v>939</v>
      </c>
      <c r="H10" s="62" t="s">
        <v>944</v>
      </c>
      <c r="I10" s="23"/>
      <c r="J10" s="41"/>
      <c r="K10" s="12"/>
      <c r="L10" s="12"/>
      <c r="M10" s="49"/>
      <c r="N10" s="240"/>
      <c r="O10" s="241"/>
      <c r="P10" s="13"/>
      <c r="Q10" s="14" t="str">
        <f t="shared" si="0"/>
        <v>"_new_id_supporttesttype_value": "support_test_type_code",</v>
      </c>
      <c r="R10" s="14" t="str">
        <f t="shared" ref="R10:R24" si="1">CONCATENATE($Q$2,A10,$R$2,B10,$Q$2,",")</f>
        <v>"support_test_type_code": "string",</v>
      </c>
    </row>
    <row r="11" spans="1:18" ht="15.75" customHeight="1" outlineLevel="1">
      <c r="A11" s="142" t="s">
        <v>929</v>
      </c>
      <c r="B11" s="142" t="s">
        <v>111</v>
      </c>
      <c r="C11" s="36"/>
      <c r="D11" s="141" t="s">
        <v>945</v>
      </c>
      <c r="E11" s="168" t="s">
        <v>312</v>
      </c>
      <c r="F11" s="169"/>
      <c r="G11" s="17" t="s">
        <v>939</v>
      </c>
      <c r="H11" s="62" t="s">
        <v>573</v>
      </c>
      <c r="I11" s="23"/>
      <c r="J11" s="41"/>
      <c r="K11" s="12"/>
      <c r="L11" s="12"/>
      <c r="M11" s="49"/>
      <c r="N11" s="240"/>
      <c r="O11" s="241"/>
      <c r="P11" s="13"/>
      <c r="Q11" s="14" t="str">
        <f t="shared" si="0"/>
        <v>"_new_id_supportyear_value_label": "support_year",</v>
      </c>
      <c r="R11" s="14" t="str">
        <f t="shared" si="1"/>
        <v>"support_year": "Int64",</v>
      </c>
    </row>
    <row r="12" spans="1:18" ht="15.75" customHeight="1" outlineLevel="1">
      <c r="A12" s="142" t="s">
        <v>946</v>
      </c>
      <c r="B12" s="142" t="s">
        <v>78</v>
      </c>
      <c r="C12" s="36"/>
      <c r="D12" s="141" t="s">
        <v>947</v>
      </c>
      <c r="E12" s="168" t="s">
        <v>312</v>
      </c>
      <c r="F12" s="169"/>
      <c r="G12" s="17" t="s">
        <v>939</v>
      </c>
      <c r="H12" s="62" t="s">
        <v>948</v>
      </c>
      <c r="I12" s="23"/>
      <c r="J12" s="41"/>
      <c r="K12" s="12"/>
      <c r="L12" s="12"/>
      <c r="M12" s="49"/>
      <c r="N12" s="240"/>
      <c r="O12" s="241"/>
      <c r="P12" s="13"/>
      <c r="Q12" s="14" t="str">
        <f t="shared" si="0"/>
        <v>"new_pl_goaltype_label": "goal_type",</v>
      </c>
      <c r="R12" s="14" t="str">
        <f t="shared" si="1"/>
        <v>"goal_type": "string",</v>
      </c>
    </row>
    <row r="13" spans="1:18" ht="15.75" customHeight="1" outlineLevel="1">
      <c r="A13" s="142" t="s">
        <v>949</v>
      </c>
      <c r="B13" s="142" t="s">
        <v>78</v>
      </c>
      <c r="C13" s="36"/>
      <c r="D13" s="141" t="s">
        <v>950</v>
      </c>
      <c r="E13" s="168" t="s">
        <v>312</v>
      </c>
      <c r="F13" s="169"/>
      <c r="G13" s="17" t="s">
        <v>939</v>
      </c>
      <c r="H13" s="62" t="s">
        <v>951</v>
      </c>
      <c r="I13" s="23"/>
      <c r="J13" s="41"/>
      <c r="K13" s="12"/>
      <c r="L13" s="12"/>
      <c r="M13" s="49"/>
      <c r="N13" s="240"/>
      <c r="O13" s="241"/>
      <c r="P13" s="13"/>
      <c r="Q13" s="14" t="str">
        <f t="shared" si="0"/>
        <v>"_new_id_areainsupporttest_value_label": "area_name",</v>
      </c>
      <c r="R13" s="14" t="str">
        <f t="shared" si="1"/>
        <v>"area_name": "string",</v>
      </c>
    </row>
    <row r="14" spans="1:18" ht="15.75" customHeight="1" outlineLevel="1">
      <c r="A14" s="142" t="s">
        <v>952</v>
      </c>
      <c r="B14" s="142" t="s">
        <v>78</v>
      </c>
      <c r="C14" s="36"/>
      <c r="D14" s="141" t="s">
        <v>953</v>
      </c>
      <c r="E14" s="168" t="s">
        <v>312</v>
      </c>
      <c r="F14" s="169"/>
      <c r="G14" s="17" t="s">
        <v>939</v>
      </c>
      <c r="H14" s="62" t="s">
        <v>954</v>
      </c>
      <c r="I14" s="23"/>
      <c r="J14" s="41"/>
      <c r="K14" s="12"/>
      <c r="L14" s="12"/>
      <c r="M14" s="49"/>
      <c r="N14" s="240"/>
      <c r="O14" s="241"/>
      <c r="P14" s="13"/>
      <c r="Q14" s="14" t="str">
        <f t="shared" si="0"/>
        <v>"_new_id_measurementforarea_value_label": "measurement_for_area",</v>
      </c>
      <c r="R14" s="14" t="str">
        <f t="shared" si="1"/>
        <v>"measurement_for_area": "string",</v>
      </c>
    </row>
    <row r="15" spans="1:18" ht="15.75" customHeight="1" outlineLevel="1">
      <c r="A15" s="142" t="s">
        <v>955</v>
      </c>
      <c r="B15" s="142" t="s">
        <v>217</v>
      </c>
      <c r="C15" s="36"/>
      <c r="D15" s="141" t="s">
        <v>956</v>
      </c>
      <c r="E15" s="168" t="s">
        <v>312</v>
      </c>
      <c r="F15" s="169"/>
      <c r="G15" s="17" t="s">
        <v>939</v>
      </c>
      <c r="H15" s="62" t="s">
        <v>957</v>
      </c>
      <c r="I15" s="23"/>
      <c r="J15" s="41"/>
      <c r="K15" s="12"/>
      <c r="L15" s="12"/>
      <c r="M15" s="49"/>
      <c r="N15" s="42"/>
      <c r="O15" s="43"/>
      <c r="P15" s="13"/>
      <c r="Q15" s="14" t="str">
        <f t="shared" si="0"/>
        <v>"new_d_percent": "percent",</v>
      </c>
      <c r="R15" s="14" t="str">
        <f t="shared" si="1"/>
        <v>"percent": "float64",</v>
      </c>
    </row>
    <row r="16" spans="1:18" ht="15.75" customHeight="1" outlineLevel="1">
      <c r="A16" s="142" t="s">
        <v>958</v>
      </c>
      <c r="B16" s="142" t="s">
        <v>217</v>
      </c>
      <c r="C16" s="36"/>
      <c r="D16" s="141" t="s">
        <v>959</v>
      </c>
      <c r="E16" s="168" t="s">
        <v>312</v>
      </c>
      <c r="F16" s="169"/>
      <c r="G16" s="17" t="s">
        <v>939</v>
      </c>
      <c r="H16" s="62" t="s">
        <v>960</v>
      </c>
      <c r="I16" s="23"/>
      <c r="J16" s="41"/>
      <c r="K16" s="12"/>
      <c r="L16" s="12"/>
      <c r="M16" s="49"/>
      <c r="N16" s="42"/>
      <c r="O16" s="43"/>
      <c r="P16" s="13"/>
      <c r="Q16" s="14" t="str">
        <f t="shared" si="0"/>
        <v>"new_d_budgetamount": "allocation_budget_amount",</v>
      </c>
      <c r="R16" s="14" t="str">
        <f t="shared" si="1"/>
        <v>"allocation_budget_amount": "float64",</v>
      </c>
    </row>
    <row r="17" spans="1:18" ht="15.75" customHeight="1" outlineLevel="1">
      <c r="A17" s="142" t="s">
        <v>961</v>
      </c>
      <c r="B17" s="142" t="s">
        <v>78</v>
      </c>
      <c r="C17" s="120"/>
      <c r="D17" s="141" t="s">
        <v>962</v>
      </c>
      <c r="E17" s="168" t="s">
        <v>312</v>
      </c>
      <c r="F17" s="169"/>
      <c r="G17" s="17" t="s">
        <v>939</v>
      </c>
      <c r="H17" s="62" t="s">
        <v>963</v>
      </c>
      <c r="I17" s="23"/>
      <c r="J17" s="41"/>
      <c r="K17" s="12"/>
      <c r="L17" s="12"/>
      <c r="M17" s="49"/>
      <c r="N17" s="42"/>
      <c r="O17" s="43"/>
      <c r="P17" s="13"/>
      <c r="Q17" s="14" t="str">
        <f t="shared" si="0"/>
        <v>"_new_id_budgetframe_value_label": "budget_frame_name",</v>
      </c>
      <c r="R17" s="14" t="str">
        <f t="shared" si="1"/>
        <v>"budget_frame_name": "string",</v>
      </c>
    </row>
    <row r="18" spans="1:18" ht="15.75" customHeight="1" outlineLevel="1">
      <c r="A18" s="142" t="s">
        <v>964</v>
      </c>
      <c r="B18" s="142" t="s">
        <v>78</v>
      </c>
      <c r="C18" s="36"/>
      <c r="D18" s="141" t="s">
        <v>965</v>
      </c>
      <c r="E18" s="168" t="s">
        <v>312</v>
      </c>
      <c r="F18" s="169"/>
      <c r="G18" s="17" t="s">
        <v>939</v>
      </c>
      <c r="H18" s="62" t="s">
        <v>966</v>
      </c>
      <c r="I18" s="23"/>
      <c r="J18" s="41"/>
      <c r="K18" s="12"/>
      <c r="L18" s="12"/>
      <c r="M18" s="49"/>
      <c r="N18" s="42"/>
      <c r="O18" s="43"/>
      <c r="P18" s="13"/>
      <c r="Q18" s="14" t="str">
        <f t="shared" si="0"/>
        <v>"_new_id_budgetsettingtype_value_label": "budget_setting_type",</v>
      </c>
      <c r="R18" s="14" t="str">
        <f t="shared" si="1"/>
        <v>"budget_setting_type": "string",</v>
      </c>
    </row>
    <row r="19" spans="1:18" ht="15.75" customHeight="1" outlineLevel="1">
      <c r="A19" s="56" t="s">
        <v>335</v>
      </c>
      <c r="B19" s="57" t="s">
        <v>111</v>
      </c>
      <c r="C19" s="58"/>
      <c r="D19" s="134" t="s">
        <v>336</v>
      </c>
      <c r="E19" s="168" t="s">
        <v>312</v>
      </c>
      <c r="F19" s="169"/>
      <c r="G19" s="17" t="s">
        <v>939</v>
      </c>
      <c r="H19" s="61" t="s">
        <v>337</v>
      </c>
      <c r="I19" s="23"/>
      <c r="J19" s="41"/>
      <c r="K19" s="12"/>
      <c r="L19" s="12"/>
      <c r="M19" s="49"/>
      <c r="N19" s="240"/>
      <c r="O19" s="241"/>
      <c r="P19" s="13"/>
      <c r="Q19" s="14" t="str">
        <f t="shared" si="0"/>
        <v>"statecode": "is_inactive",</v>
      </c>
      <c r="R19" s="14" t="str">
        <f t="shared" si="1"/>
        <v>"is_inactive": "Int64",</v>
      </c>
    </row>
    <row r="20" spans="1:18" ht="15.75" customHeight="1" outlineLevel="1">
      <c r="A20" s="56" t="s">
        <v>338</v>
      </c>
      <c r="B20" s="59" t="s">
        <v>111</v>
      </c>
      <c r="C20" s="60"/>
      <c r="D20" s="135" t="s">
        <v>340</v>
      </c>
      <c r="E20" s="168" t="s">
        <v>312</v>
      </c>
      <c r="F20" s="169"/>
      <c r="G20" s="17" t="s">
        <v>939</v>
      </c>
      <c r="H20" s="62" t="s">
        <v>341</v>
      </c>
      <c r="I20" s="23"/>
      <c r="J20" s="41"/>
      <c r="K20" s="12"/>
      <c r="L20" s="12"/>
      <c r="M20" s="49"/>
      <c r="N20" s="240"/>
      <c r="O20" s="241"/>
      <c r="P20" s="13"/>
      <c r="Q20" s="14" t="str">
        <f t="shared" si="0"/>
        <v>"statuscode": "status_code",</v>
      </c>
      <c r="R20" s="14" t="str">
        <f t="shared" si="1"/>
        <v>"status_code": "Int64",</v>
      </c>
    </row>
    <row r="21" spans="1:18" ht="15.75" customHeight="1" outlineLevel="1">
      <c r="A21" s="56" t="s">
        <v>342</v>
      </c>
      <c r="B21" s="59" t="s">
        <v>239</v>
      </c>
      <c r="C21" s="60"/>
      <c r="D21" s="135" t="s">
        <v>343</v>
      </c>
      <c r="E21" s="168" t="s">
        <v>312</v>
      </c>
      <c r="F21" s="169"/>
      <c r="G21" s="17" t="s">
        <v>939</v>
      </c>
      <c r="H21" s="62" t="s">
        <v>344</v>
      </c>
      <c r="I21" s="23"/>
      <c r="J21" s="41"/>
      <c r="K21" s="12"/>
      <c r="L21" s="12"/>
      <c r="M21" s="49"/>
      <c r="N21" s="240"/>
      <c r="O21" s="241"/>
      <c r="P21" s="13"/>
      <c r="Q21" s="14" t="str">
        <f t="shared" si="0"/>
        <v>"modifiedon": "modified_on_date",</v>
      </c>
      <c r="R21" s="14" t="str">
        <f t="shared" si="1"/>
        <v>"modified_on_date": "datetime",</v>
      </c>
    </row>
    <row r="22" spans="1:18" ht="15.75" customHeight="1" outlineLevel="1">
      <c r="A22" s="37"/>
      <c r="B22" s="34"/>
      <c r="C22" s="36"/>
      <c r="D22" s="16"/>
      <c r="E22" s="46"/>
      <c r="F22" s="47"/>
      <c r="G22" s="17"/>
      <c r="H22" s="22"/>
      <c r="I22" s="48"/>
      <c r="J22" s="41"/>
      <c r="K22" s="12"/>
      <c r="L22" s="12"/>
      <c r="M22" s="45"/>
      <c r="N22" s="42"/>
      <c r="O22" s="43"/>
      <c r="P22" s="13"/>
      <c r="Q22" s="14" t="str">
        <f t="shared" si="0"/>
        <v>"": "",</v>
      </c>
      <c r="R22" s="14" t="str">
        <f t="shared" si="1"/>
        <v>"": "",</v>
      </c>
    </row>
    <row r="23" spans="1:18" ht="15.75" customHeight="1" outlineLevel="1">
      <c r="A23" s="37"/>
      <c r="B23" s="34"/>
      <c r="C23" s="36"/>
      <c r="D23" s="34"/>
      <c r="E23" s="168"/>
      <c r="F23" s="169"/>
      <c r="G23" s="17"/>
      <c r="H23" s="22"/>
      <c r="I23" s="23"/>
      <c r="J23" s="41"/>
      <c r="K23" s="12"/>
      <c r="L23" s="12"/>
      <c r="M23" s="45"/>
      <c r="N23" s="240"/>
      <c r="O23" s="241"/>
      <c r="P23" s="13"/>
      <c r="Q23" s="14" t="str">
        <f t="shared" si="0"/>
        <v>"": "",</v>
      </c>
      <c r="R23" s="14" t="str">
        <f t="shared" si="1"/>
        <v>"": "",</v>
      </c>
    </row>
    <row r="24" spans="1:18" ht="15.75" customHeight="1" outlineLevel="1">
      <c r="A24" s="38" t="s">
        <v>64</v>
      </c>
      <c r="B24" s="39"/>
      <c r="C24" s="40"/>
      <c r="D24" s="9"/>
      <c r="E24" s="168"/>
      <c r="F24" s="169"/>
      <c r="G24" s="17"/>
      <c r="H24" s="25"/>
      <c r="I24" s="24"/>
      <c r="J24" s="51"/>
      <c r="K24" s="3"/>
      <c r="L24" s="3"/>
      <c r="M24" s="49"/>
      <c r="N24" s="242"/>
      <c r="O24" s="243"/>
      <c r="P24" s="4"/>
      <c r="Q24" s="14" t="str">
        <f t="shared" si="0"/>
        <v>"": "Leave Empty",</v>
      </c>
      <c r="R24" s="14" t="str">
        <f t="shared" si="1"/>
        <v>"Leave Empty": "",</v>
      </c>
    </row>
    <row r="25" spans="1:18" ht="15.75" customHeight="1">
      <c r="E25" s="170"/>
      <c r="F25" s="146"/>
      <c r="G25" s="171"/>
      <c r="H25" s="155"/>
      <c r="I25" s="26"/>
      <c r="N25" s="226"/>
      <c r="O25" s="226"/>
    </row>
    <row r="26" spans="1:18" ht="15.75" customHeight="1"/>
    <row r="27" spans="1:18" ht="15.75" customHeight="1"/>
    <row r="28" spans="1:18" ht="15.75" customHeight="1"/>
    <row r="29" spans="1:18" ht="15.75" customHeight="1"/>
    <row r="30" spans="1:18" ht="15.75" customHeight="1"/>
    <row r="31" spans="1:18" ht="15.75" customHeight="1"/>
    <row r="32" spans="1:1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</sheetData>
  <autoFilter ref="A8:P24" xr:uid="{00000000-0009-0000-0000-000000000000}"/>
  <mergeCells count="51">
    <mergeCell ref="B1:D1"/>
    <mergeCell ref="E1:I1"/>
    <mergeCell ref="N1:P1"/>
    <mergeCell ref="E2:E6"/>
    <mergeCell ref="F2:G2"/>
    <mergeCell ref="J2:L6"/>
    <mergeCell ref="M2:M6"/>
    <mergeCell ref="N2:N6"/>
    <mergeCell ref="O2:P6"/>
    <mergeCell ref="F6:I6"/>
    <mergeCell ref="Q2:Q5"/>
    <mergeCell ref="R2:R5"/>
    <mergeCell ref="C3:C5"/>
    <mergeCell ref="D3:D5"/>
    <mergeCell ref="F3:G3"/>
    <mergeCell ref="F4:G4"/>
    <mergeCell ref="F5:G5"/>
    <mergeCell ref="B7:D7"/>
    <mergeCell ref="E7:I7"/>
    <mergeCell ref="J7:L7"/>
    <mergeCell ref="N7:P7"/>
    <mergeCell ref="E8:F8"/>
    <mergeCell ref="N8:O8"/>
    <mergeCell ref="E9:F9"/>
    <mergeCell ref="E10:F10"/>
    <mergeCell ref="N10:O10"/>
    <mergeCell ref="E11:F11"/>
    <mergeCell ref="N11:O11"/>
    <mergeCell ref="E15:F15"/>
    <mergeCell ref="E16:F16"/>
    <mergeCell ref="E17:F17"/>
    <mergeCell ref="E18:F18"/>
    <mergeCell ref="E12:F12"/>
    <mergeCell ref="N12:O12"/>
    <mergeCell ref="E13:F13"/>
    <mergeCell ref="N13:O13"/>
    <mergeCell ref="E14:F14"/>
    <mergeCell ref="N14:O14"/>
    <mergeCell ref="E19:F19"/>
    <mergeCell ref="N19:O19"/>
    <mergeCell ref="E20:F20"/>
    <mergeCell ref="N20:O20"/>
    <mergeCell ref="E25:F25"/>
    <mergeCell ref="G25:H25"/>
    <mergeCell ref="N25:O25"/>
    <mergeCell ref="E21:F21"/>
    <mergeCell ref="N21:O21"/>
    <mergeCell ref="E23:F23"/>
    <mergeCell ref="N23:O23"/>
    <mergeCell ref="E24:F24"/>
    <mergeCell ref="N24:O24"/>
  </mergeCells>
  <conditionalFormatting sqref="A22:A24">
    <cfRule type="expression" dxfId="4" priority="4">
      <formula>M22 = "On Hold"</formula>
    </cfRule>
  </conditionalFormatting>
  <conditionalFormatting sqref="B2:B5 J10:P24">
    <cfRule type="cellIs" dxfId="3" priority="2" operator="equal">
      <formula>"Done"</formula>
    </cfRule>
    <cfRule type="cellIs" dxfId="2" priority="3" operator="equal">
      <formula>"On Hold"</formula>
    </cfRule>
    <cfRule type="cellIs" dxfId="1" priority="5" operator="equal">
      <formula>"Ready for Review"</formula>
    </cfRule>
    <cfRule type="cellIs" dxfId="0" priority="6" operator="equal">
      <formula>"In Review"</formula>
    </cfRule>
  </conditionalFormatting>
  <dataValidations count="7">
    <dataValidation type="list" allowBlank="1" showErrorMessage="1" sqref="B2" xr:uid="{1505AD38-B5B0-4AC6-8A25-4934022C818F}">
      <formula1>STT_Statuses</formula1>
    </dataValidation>
    <dataValidation type="list" allowBlank="1" sqref="B4:B5" xr:uid="{21492014-12A5-4E9B-97B1-5BB215065D7F}">
      <formula1>ETL_Statuses</formula1>
    </dataValidation>
    <dataValidation type="list" allowBlank="1" sqref="B3 M10:M24" xr:uid="{C3A53D03-76BA-42BF-B7DF-E98284C1FE88}">
      <formula1>Statuses</formula1>
    </dataValidation>
    <dataValidation type="list" allowBlank="1" sqref="B22:B24" xr:uid="{CAD4FF31-52DD-4C81-8654-0C27BBEC785B}">
      <formula1>Data_Types</formula1>
    </dataValidation>
    <dataValidation type="list" allowBlank="1" sqref="E9:E24" xr:uid="{CCF26117-662A-41A2-8EA1-F78BAB48BBF6}">
      <formula1>Sources</formula1>
    </dataValidation>
    <dataValidation type="list" allowBlank="1" sqref="N10:N24" xr:uid="{6941BE4A-75BF-4A88-94DF-E80B67EA6302}">
      <formula1>Categories</formula1>
    </dataValidation>
    <dataValidation type="list" allowBlank="1" sqref="P10:P24" xr:uid="{9288FAC3-91FC-45EE-A743-2260C9B3B1BB}">
      <formula1>Versions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0EABD-37E1-474A-A9D8-4444F3ECA48F}">
  <dimension ref="A1:B18"/>
  <sheetViews>
    <sheetView workbookViewId="0">
      <selection activeCell="B3" sqref="B3"/>
    </sheetView>
  </sheetViews>
  <sheetFormatPr defaultRowHeight="12.6"/>
  <cols>
    <col min="2" max="2" width="34.42578125" customWidth="1"/>
  </cols>
  <sheetData>
    <row r="1" spans="1:2">
      <c r="B1" t="s">
        <v>967</v>
      </c>
    </row>
    <row r="3" spans="1:2">
      <c r="A3">
        <v>1</v>
      </c>
      <c r="B3" t="s">
        <v>314</v>
      </c>
    </row>
    <row r="4" spans="1:2">
      <c r="A4">
        <v>2</v>
      </c>
      <c r="B4" t="s">
        <v>345</v>
      </c>
    </row>
    <row r="5" spans="1:2">
      <c r="A5">
        <v>3</v>
      </c>
      <c r="B5" t="s">
        <v>360</v>
      </c>
    </row>
    <row r="6" spans="1:2">
      <c r="A6">
        <v>4</v>
      </c>
      <c r="B6" t="s">
        <v>398</v>
      </c>
    </row>
    <row r="7" spans="1:2">
      <c r="A7">
        <v>5</v>
      </c>
      <c r="B7" t="s">
        <v>423</v>
      </c>
    </row>
    <row r="8" spans="1:2">
      <c r="A8">
        <v>6</v>
      </c>
      <c r="B8" t="s">
        <v>433</v>
      </c>
    </row>
    <row r="9" spans="1:2">
      <c r="A9">
        <v>7</v>
      </c>
      <c r="B9" t="s">
        <v>469</v>
      </c>
    </row>
    <row r="10" spans="1:2">
      <c r="A10">
        <v>8</v>
      </c>
      <c r="B10" t="s">
        <v>495</v>
      </c>
    </row>
    <row r="11" spans="1:2">
      <c r="A11">
        <v>9</v>
      </c>
      <c r="B11" t="s">
        <v>968</v>
      </c>
    </row>
    <row r="12" spans="1:2">
      <c r="A12">
        <v>10</v>
      </c>
      <c r="B12" t="s">
        <v>587</v>
      </c>
    </row>
    <row r="13" spans="1:2">
      <c r="A13">
        <v>11</v>
      </c>
      <c r="B13" t="s">
        <v>608</v>
      </c>
    </row>
    <row r="14" spans="1:2">
      <c r="A14">
        <v>12</v>
      </c>
      <c r="B14" t="s">
        <v>622</v>
      </c>
    </row>
    <row r="15" spans="1:2">
      <c r="A15">
        <v>13</v>
      </c>
      <c r="B15" t="s">
        <v>641</v>
      </c>
    </row>
    <row r="16" spans="1:2">
      <c r="A16">
        <v>14</v>
      </c>
      <c r="B16" t="s">
        <v>665</v>
      </c>
    </row>
    <row r="17" spans="1:2">
      <c r="A17">
        <v>15</v>
      </c>
      <c r="B17" t="s">
        <v>689</v>
      </c>
    </row>
    <row r="18" spans="1:2">
      <c r="A18">
        <v>16</v>
      </c>
      <c r="B18" t="s">
        <v>969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2"/>
  <sheetViews>
    <sheetView workbookViewId="0">
      <selection activeCell="A39" sqref="A39:A45"/>
    </sheetView>
  </sheetViews>
  <sheetFormatPr defaultColWidth="12.7109375" defaultRowHeight="15" customHeight="1"/>
  <cols>
    <col min="1" max="1" width="15" customWidth="1"/>
    <col min="2" max="3" width="18.42578125" customWidth="1"/>
    <col min="4" max="6" width="12.7109375" customWidth="1"/>
  </cols>
  <sheetData>
    <row r="1" spans="1:1" ht="15.75" customHeight="1">
      <c r="A1" s="6" t="s">
        <v>970</v>
      </c>
    </row>
    <row r="2" spans="1:1" ht="15.75" customHeight="1">
      <c r="A2" s="7" t="s">
        <v>312</v>
      </c>
    </row>
    <row r="3" spans="1:1" ht="15.75" customHeight="1">
      <c r="A3" s="7" t="s">
        <v>971</v>
      </c>
    </row>
    <row r="4" spans="1:1" ht="15.75" customHeight="1">
      <c r="A4" s="7" t="s">
        <v>972</v>
      </c>
    </row>
    <row r="5" spans="1:1" ht="15.75" customHeight="1">
      <c r="A5" s="7" t="s">
        <v>868</v>
      </c>
    </row>
    <row r="6" spans="1:1" ht="15.75" customHeight="1">
      <c r="A6" s="7" t="s">
        <v>52</v>
      </c>
    </row>
    <row r="7" spans="1:1" ht="15.75" customHeight="1">
      <c r="A7" s="7" t="s">
        <v>973</v>
      </c>
    </row>
    <row r="8" spans="1:1" ht="15.75" customHeight="1"/>
    <row r="9" spans="1:1" ht="15.75" customHeight="1">
      <c r="A9" s="6" t="s">
        <v>974</v>
      </c>
    </row>
    <row r="10" spans="1:1" ht="15.75" customHeight="1">
      <c r="A10" s="7" t="s">
        <v>67</v>
      </c>
    </row>
    <row r="11" spans="1:1" ht="15.75" customHeight="1">
      <c r="A11" s="7" t="s">
        <v>82</v>
      </c>
    </row>
    <row r="12" spans="1:1" ht="15.75" customHeight="1">
      <c r="A12" s="7" t="s">
        <v>975</v>
      </c>
    </row>
    <row r="13" spans="1:1" ht="15.75" customHeight="1">
      <c r="A13" s="7" t="s">
        <v>976</v>
      </c>
    </row>
    <row r="14" spans="1:1" ht="15.75" customHeight="1"/>
    <row r="15" spans="1:1" ht="15.75" customHeight="1">
      <c r="A15" s="6" t="s">
        <v>977</v>
      </c>
    </row>
    <row r="16" spans="1:1" ht="15.75" customHeight="1">
      <c r="A16" s="7" t="s">
        <v>83</v>
      </c>
    </row>
    <row r="17" spans="1:1" ht="15.75" customHeight="1">
      <c r="A17" s="7" t="s">
        <v>978</v>
      </c>
    </row>
    <row r="18" spans="1:1" ht="15.75" customHeight="1">
      <c r="A18" s="7" t="s">
        <v>979</v>
      </c>
    </row>
    <row r="19" spans="1:1" ht="15.75" customHeight="1"/>
    <row r="20" spans="1:1" ht="15.75" customHeight="1">
      <c r="A20" s="8" t="s">
        <v>980</v>
      </c>
    </row>
    <row r="21" spans="1:1" ht="15.75" customHeight="1">
      <c r="A21" s="7" t="s">
        <v>1</v>
      </c>
    </row>
    <row r="22" spans="1:1" ht="15.75" customHeight="1">
      <c r="A22" s="7" t="s">
        <v>981</v>
      </c>
    </row>
    <row r="23" spans="1:1" ht="15.75" customHeight="1">
      <c r="A23" s="7" t="s">
        <v>982</v>
      </c>
    </row>
    <row r="24" spans="1:1" ht="15.75" customHeight="1">
      <c r="A24" s="7" t="s">
        <v>983</v>
      </c>
    </row>
    <row r="25" spans="1:1" ht="15.75" customHeight="1">
      <c r="A25" s="7" t="s">
        <v>984</v>
      </c>
    </row>
    <row r="26" spans="1:1" ht="15.75" customHeight="1"/>
    <row r="27" spans="1:1" ht="15.75" customHeight="1">
      <c r="A27" s="8" t="s">
        <v>985</v>
      </c>
    </row>
    <row r="28" spans="1:1" ht="15.75" customHeight="1">
      <c r="A28" s="7" t="s">
        <v>1</v>
      </c>
    </row>
    <row r="29" spans="1:1" ht="15.75" customHeight="1">
      <c r="A29" s="7" t="s">
        <v>983</v>
      </c>
    </row>
    <row r="30" spans="1:1" ht="15.75" customHeight="1">
      <c r="A30" s="7" t="s">
        <v>986</v>
      </c>
    </row>
    <row r="31" spans="1:1" ht="15.75" customHeight="1">
      <c r="A31" s="7" t="s">
        <v>987</v>
      </c>
    </row>
    <row r="32" spans="1:1" ht="15.75" customHeight="1"/>
    <row r="33" spans="1:3" ht="15.75" customHeight="1">
      <c r="A33" s="8" t="s">
        <v>988</v>
      </c>
    </row>
    <row r="34" spans="1:3" ht="15.75" customHeight="1">
      <c r="A34" s="7" t="s">
        <v>1</v>
      </c>
    </row>
    <row r="35" spans="1:3" ht="15.75" customHeight="1">
      <c r="A35" s="7" t="s">
        <v>983</v>
      </c>
    </row>
    <row r="36" spans="1:3" ht="15.75" customHeight="1">
      <c r="A36" s="7" t="s">
        <v>984</v>
      </c>
    </row>
    <row r="37" spans="1:3" ht="15.75" customHeight="1"/>
    <row r="38" spans="1:3" ht="15.75" customHeight="1">
      <c r="A38" s="8" t="s">
        <v>989</v>
      </c>
      <c r="B38" s="8" t="s">
        <v>990</v>
      </c>
      <c r="C38" s="6"/>
    </row>
    <row r="39" spans="1:3" ht="15.75" customHeight="1">
      <c r="A39" s="1" t="s">
        <v>111</v>
      </c>
      <c r="B39" s="1" t="s">
        <v>111</v>
      </c>
      <c r="C39" s="1"/>
    </row>
    <row r="40" spans="1:3" ht="15.75" customHeight="1">
      <c r="A40" s="1" t="s">
        <v>111</v>
      </c>
      <c r="B40" s="1" t="s">
        <v>111</v>
      </c>
      <c r="C40" s="1"/>
    </row>
    <row r="41" spans="1:3" ht="15.75" customHeight="1">
      <c r="A41" s="1" t="s">
        <v>217</v>
      </c>
      <c r="B41" s="1" t="s">
        <v>217</v>
      </c>
      <c r="C41" s="1"/>
    </row>
    <row r="42" spans="1:3" ht="15.75" customHeight="1">
      <c r="A42" s="1" t="str">
        <f t="shared" ref="A42:A49" si="0">B42</f>
        <v>string</v>
      </c>
      <c r="B42" s="1" t="s">
        <v>78</v>
      </c>
      <c r="C42" s="1"/>
    </row>
    <row r="43" spans="1:3" ht="15.75" customHeight="1">
      <c r="A43" s="1" t="str">
        <f t="shared" si="0"/>
        <v>boolean</v>
      </c>
      <c r="B43" s="1" t="s">
        <v>809</v>
      </c>
      <c r="C43" s="1"/>
    </row>
    <row r="44" spans="1:3" ht="15.75" customHeight="1">
      <c r="A44" s="1" t="str">
        <f t="shared" si="0"/>
        <v>date</v>
      </c>
      <c r="B44" s="1" t="s">
        <v>530</v>
      </c>
      <c r="C44" s="1"/>
    </row>
    <row r="45" spans="1:3" ht="15.75" customHeight="1">
      <c r="A45" s="1" t="s">
        <v>239</v>
      </c>
      <c r="B45" s="1" t="s">
        <v>239</v>
      </c>
      <c r="C45" s="1"/>
    </row>
    <row r="46" spans="1:3" ht="15.75" customHeight="1">
      <c r="A46" s="1" t="str">
        <f t="shared" si="0"/>
        <v>variant</v>
      </c>
      <c r="B46" s="1" t="s">
        <v>991</v>
      </c>
      <c r="C46" s="1"/>
    </row>
    <row r="47" spans="1:3" ht="15.75" customHeight="1">
      <c r="A47" s="1" t="str">
        <f t="shared" si="0"/>
        <v>object</v>
      </c>
      <c r="B47" s="1" t="s">
        <v>992</v>
      </c>
      <c r="C47" s="1"/>
    </row>
    <row r="48" spans="1:3" ht="15.75" customHeight="1">
      <c r="A48" s="1" t="str">
        <f t="shared" si="0"/>
        <v>array</v>
      </c>
      <c r="B48" s="1" t="s">
        <v>993</v>
      </c>
      <c r="C48" s="1"/>
    </row>
    <row r="49" spans="1:3" ht="15.75" customHeight="1">
      <c r="A49" s="1" t="str">
        <f t="shared" si="0"/>
        <v>geography</v>
      </c>
      <c r="B49" s="1" t="s">
        <v>994</v>
      </c>
      <c r="C49" s="1"/>
    </row>
    <row r="50" spans="1:3" ht="15.75" customHeight="1"/>
    <row r="51" spans="1:3" ht="15.75" customHeight="1"/>
    <row r="52" spans="1:3" ht="15.75" customHeight="1"/>
    <row r="53" spans="1:3" ht="15.75" customHeight="1"/>
    <row r="54" spans="1:3" ht="15.75" customHeight="1"/>
    <row r="55" spans="1:3" ht="15.75" customHeight="1"/>
    <row r="56" spans="1:3" ht="15.75" customHeight="1"/>
    <row r="57" spans="1:3" ht="15.75" customHeight="1"/>
    <row r="58" spans="1:3" ht="15.75" customHeight="1"/>
    <row r="59" spans="1:3" ht="15.75" customHeight="1"/>
    <row r="60" spans="1:3" ht="15.75" customHeight="1"/>
    <row r="61" spans="1:3" ht="15.75" customHeight="1"/>
    <row r="62" spans="1:3" ht="15.75" customHeight="1"/>
    <row r="63" spans="1:3" ht="15.75" customHeight="1"/>
    <row r="64" spans="1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7D2FF3C4DD0193449167A5C0D4B07B2C" ma:contentTypeVersion="13" ma:contentTypeDescription="צור מסמך חדש." ma:contentTypeScope="" ma:versionID="23cc5fe218c81a58ba7b41ff5440bf1a">
  <xsd:schema xmlns:xsd="http://www.w3.org/2001/XMLSchema" xmlns:xs="http://www.w3.org/2001/XMLSchema" xmlns:p="http://schemas.microsoft.com/office/2006/metadata/properties" xmlns:ns2="509b7683-c015-44e4-bdf6-5cb592c6569c" xmlns:ns3="38f89215-5b2e-4ad2-81d8-21f0bc017b44" targetNamespace="http://schemas.microsoft.com/office/2006/metadata/properties" ma:root="true" ma:fieldsID="b64ea81c527b9f1c3158afc4d1b01dba" ns2:_="" ns3:_="">
    <xsd:import namespace="509b7683-c015-44e4-bdf6-5cb592c6569c"/>
    <xsd:import namespace="38f89215-5b2e-4ad2-81d8-21f0bc017b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x05ea__x05d9__x05d0__x05d5__x05e8__x0020__x05d4__x05d1__x05e2__x05d9__x05d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9b7683-c015-44e4-bdf6-5cb592c656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תגיות תמונה" ma:readOnly="false" ma:fieldId="{5cf76f15-5ced-4ddc-b409-7134ff3c332f}" ma:taxonomyMulti="true" ma:sspId="3a6b797a-74ca-440d-9f33-86cbf78969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x05ea__x05d9__x05d0__x05d5__x05e8__x0020__x05d4__x05d1__x05e2__x05d9__x05d4_" ma:index="20" nillable="true" ma:displayName="תיאור הבעיה" ma:description="תיאור הבעיה שנמצאה בדאטה" ma:internalName="_x05ea__x05d9__x05d0__x05d5__x05e8__x0020__x05d4__x05d1__x05e2__x05d9__x05d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f89215-5b2e-4ad2-81d8-21f0bc017b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10f589b-15c9-4ad0-a231-0cc81a1f8965}" ma:internalName="TaxCatchAll" ma:showField="CatchAllData" ma:web="38f89215-5b2e-4ad2-81d8-21f0bc017b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9b7683-c015-44e4-bdf6-5cb592c6569c">
      <Terms xmlns="http://schemas.microsoft.com/office/infopath/2007/PartnerControls"/>
    </lcf76f155ced4ddcb4097134ff3c332f>
    <TaxCatchAll xmlns="38f89215-5b2e-4ad2-81d8-21f0bc017b44" xsi:nil="true"/>
    <_x05ea__x05d9__x05d0__x05d5__x05e8__x0020__x05d4__x05d1__x05e2__x05d9__x05d4_ xmlns="509b7683-c015-44e4-bdf6-5cb592c6569c" xsi:nil="true"/>
  </documentManagement>
</p:properties>
</file>

<file path=customXml/itemProps1.xml><?xml version="1.0" encoding="utf-8"?>
<ds:datastoreItem xmlns:ds="http://schemas.openxmlformats.org/officeDocument/2006/customXml" ds:itemID="{00D888F0-E6DF-43B4-8415-0654130720ED}"/>
</file>

<file path=customXml/itemProps2.xml><?xml version="1.0" encoding="utf-8"?>
<ds:datastoreItem xmlns:ds="http://schemas.openxmlformats.org/officeDocument/2006/customXml" ds:itemID="{9876A2EA-2FEA-45E5-BB68-7A50710F288D}"/>
</file>

<file path=customXml/itemProps3.xml><?xml version="1.0" encoding="utf-8"?>
<ds:datastoreItem xmlns:ds="http://schemas.openxmlformats.org/officeDocument/2006/customXml" ds:itemID="{34195B23-FD77-4D93-8E6C-7D8551A4FF45}"/>
</file>

<file path=customXml/itemProps4.xml><?xml version="1.0" encoding="utf-8"?>
<ds:datastoreItem xmlns:ds="http://schemas.openxmlformats.org/officeDocument/2006/customXml" ds:itemID="{56C27027-FCAC-4D07-A4DC-E4C788B60D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איילה</dc:creator>
  <cp:keywords/>
  <dc:description/>
  <cp:lastModifiedBy>Michal Revivo</cp:lastModifiedBy>
  <cp:revision/>
  <dcterms:created xsi:type="dcterms:W3CDTF">2025-09-16T08:32:11Z</dcterms:created>
  <dcterms:modified xsi:type="dcterms:W3CDTF">2026-10-05T08:12:20Z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0x0101007D2FF3C4DD0193449167A5C0D4B07B2C</vt:lpwstr>
  </property>
  <property fmtid="{D5CDD505-2E9C-101B-9397-08002B2CF9AE}" pid="3" name="MediaServiceImageTags">
    <vt:lpwstr/>
  </property>
</Properties>
</file>