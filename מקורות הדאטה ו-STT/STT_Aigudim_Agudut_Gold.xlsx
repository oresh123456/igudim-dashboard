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ladsoftwaresystems.sharepoint.com/sites/msteams_e5ead2/Shared Documents/Content/איפיונים/LLD/"/>
    </mc:Choice>
  </mc:AlternateContent>
  <xr:revisionPtr revIDLastSave="479" documentId="8_{16FCA5BA-BEF1-4CFC-B557-3542694293C6}" xr6:coauthVersionLast="47" xr6:coauthVersionMax="47" xr10:uidLastSave="{04C31CE3-75CE-48D5-8F7B-9E300C08E803}"/>
  <bookViews>
    <workbookView xWindow="-180" yWindow="16080" windowWidth="29040" windowHeight="15720" tabRatio="862" firstSheet="1" activeTab="5" xr2:uid="{00000000-000D-0000-FFFF-FFFF00000000}"/>
  </bookViews>
  <sheets>
    <sheet name="dwh_aa_fact_achievement_persona" sheetId="40" r:id="rId1"/>
    <sheet name="dwh_aa_fact_achievement_group" sheetId="39" r:id="rId2"/>
    <sheet name="dwh_aa_fact_athlete" sheetId="27" r:id="rId3"/>
    <sheet name="dwh_aa_fact_support_request_spo" sheetId="28" r:id="rId4"/>
    <sheet name="dwh_aa_fact_trainers" sheetId="37" r:id="rId5"/>
    <sheet name="dwh_aa_fact_office_roles_sport" sheetId="38" r:id="rId6"/>
    <sheet name="dwh_aa_fact_budget_pct" sheetId="41" r:id="rId7"/>
    <sheet name="dwh_aa_dim_association" sheetId="35" r:id="rId8"/>
    <sheet name="dwh_aa_dim_society" sheetId="22" r:id="rId9"/>
    <sheet name="dwh_aa_dim_authority" sheetId="17" r:id="rId10"/>
    <sheet name="dwh_aa_dim_branchs" sheetId="36" r:id="rId11"/>
    <sheet name="dwh_aa_dim_teams" sheetId="29" r:id="rId12"/>
    <sheet name="tables list" sheetId="12" r:id="rId13"/>
    <sheet name="Lists" sheetId="2" r:id="rId14"/>
  </sheets>
  <definedNames>
    <definedName name="_xlnm._FilterDatabase" localSheetId="7" hidden="1">dwh_aa_dim_association!$A$8:$P$17</definedName>
    <definedName name="_xlnm._FilterDatabase" localSheetId="9" hidden="1">dwh_aa_dim_authority!$A$8:$P$29</definedName>
    <definedName name="_xlnm._FilterDatabase" localSheetId="10" hidden="1">dwh_aa_dim_branchs!$A$8:$P$24</definedName>
    <definedName name="_xlnm._FilterDatabase" localSheetId="8" hidden="1">dwh_aa_dim_society!$A$8:$M$14</definedName>
    <definedName name="_xlnm._FilterDatabase" localSheetId="11" hidden="1">dwh_aa_dim_teams!$A$8:$P$16</definedName>
    <definedName name="_xlnm._FilterDatabase" localSheetId="1" hidden="1">dwh_aa_fact_achievement_group!$A$8:$P$23</definedName>
    <definedName name="_xlnm._FilterDatabase" localSheetId="0" hidden="1">dwh_aa_fact_achievement_persona!$A$8:$P$31</definedName>
    <definedName name="_xlnm._FilterDatabase" localSheetId="2" hidden="1">dwh_aa_fact_athlete!$A$8:$P$46</definedName>
    <definedName name="_xlnm._FilterDatabase" localSheetId="6" hidden="1">dwh_aa_fact_budget_pct!$A$8:$P$18</definedName>
    <definedName name="_xlnm._FilterDatabase" localSheetId="5" hidden="1">dwh_aa_fact_office_roles_sport!$A$8:$P$22</definedName>
    <definedName name="_xlnm._FilterDatabase" localSheetId="3" hidden="1">dwh_aa_fact_support_request_spo!$A$8:$P$49</definedName>
    <definedName name="_xlnm._FilterDatabase" localSheetId="4" hidden="1">dwh_aa_fact_trainers!$A$8:$P$26</definedName>
    <definedName name="Categories">Lists!$A$10:$A$13</definedName>
    <definedName name="Data_Types">Lists!$A$39:$A$49</definedName>
    <definedName name="ETL_Statuses">Lists!$A$28:$A$31</definedName>
    <definedName name="Issues_List" localSheetId="7">dwh_aa_dim_association!#REF!</definedName>
    <definedName name="Issues_List" localSheetId="9">dwh_aa_dim_authority!#REF!</definedName>
    <definedName name="Issues_List" localSheetId="10">dwh_aa_dim_branchs!#REF!</definedName>
    <definedName name="Issues_List" localSheetId="8">dwh_aa_dim_society!#REF!</definedName>
    <definedName name="Issues_List" localSheetId="11">dwh_aa_dim_teams!#REF!</definedName>
    <definedName name="Issues_List" localSheetId="1">dwh_aa_fact_achievement_group!#REF!</definedName>
    <definedName name="Issues_List" localSheetId="0">dwh_aa_fact_achievement_persona!#REF!</definedName>
    <definedName name="Issues_List" localSheetId="2">dwh_aa_fact_athlete!#REF!</definedName>
    <definedName name="Issues_List" localSheetId="6">dwh_aa_fact_budget_pct!#REF!</definedName>
    <definedName name="Issues_List" localSheetId="5">dwh_aa_fact_office_roles_sport!#REF!</definedName>
    <definedName name="Issues_List" localSheetId="3">dwh_aa_fact_support_request_spo!#REF!</definedName>
    <definedName name="Issues_List" localSheetId="4">dwh_aa_fact_trainers!#REF!</definedName>
    <definedName name="Issues_List">#REF!</definedName>
    <definedName name="Sources">Lists!$A$2:$A$7</definedName>
    <definedName name="Statuses">Lists!$A$34:$A$36</definedName>
    <definedName name="STT_Statuses">Lists!$A$21:$A$25</definedName>
    <definedName name="Versions">Lists!$A$16:$A$18</definedName>
    <definedName name="Z_3877CD48_FFF2_4293_9956_912F099C7B95_.wvu.FilterData" localSheetId="7" hidden="1">dwh_aa_dim_association!$A$8:$P$17</definedName>
    <definedName name="Z_3877CD48_FFF2_4293_9956_912F099C7B95_.wvu.FilterData" localSheetId="9" hidden="1">dwh_aa_dim_authority!$A$8:$P$29</definedName>
    <definedName name="Z_3877CD48_FFF2_4293_9956_912F099C7B95_.wvu.FilterData" localSheetId="10" hidden="1">dwh_aa_dim_branchs!$A$8:$P$24</definedName>
    <definedName name="Z_3877CD48_FFF2_4293_9956_912F099C7B95_.wvu.FilterData" localSheetId="8" hidden="1">dwh_aa_dim_society!$A$8:$M$14</definedName>
    <definedName name="Z_3877CD48_FFF2_4293_9956_912F099C7B95_.wvu.FilterData" localSheetId="11" hidden="1">dwh_aa_dim_teams!$A$8:$P$16</definedName>
    <definedName name="Z_3877CD48_FFF2_4293_9956_912F099C7B95_.wvu.FilterData" localSheetId="1" hidden="1">dwh_aa_fact_achievement_group!$A$8:$P$23</definedName>
    <definedName name="Z_3877CD48_FFF2_4293_9956_912F099C7B95_.wvu.FilterData" localSheetId="0" hidden="1">dwh_aa_fact_achievement_persona!$A$8:$P$31</definedName>
    <definedName name="Z_3877CD48_FFF2_4293_9956_912F099C7B95_.wvu.FilterData" localSheetId="2" hidden="1">dwh_aa_fact_athlete!$A$8:$P$46</definedName>
    <definedName name="Z_3877CD48_FFF2_4293_9956_912F099C7B95_.wvu.FilterData" localSheetId="6" hidden="1">dwh_aa_fact_budget_pct!$A$8:$P$18</definedName>
    <definedName name="Z_3877CD48_FFF2_4293_9956_912F099C7B95_.wvu.FilterData" localSheetId="5" hidden="1">dwh_aa_fact_office_roles_sport!$A$8:$P$22</definedName>
    <definedName name="Z_3877CD48_FFF2_4293_9956_912F099C7B95_.wvu.FilterData" localSheetId="3" hidden="1">dwh_aa_fact_support_request_spo!$A$8:$P$49</definedName>
    <definedName name="Z_3877CD48_FFF2_4293_9956_912F099C7B95_.wvu.FilterData" localSheetId="4" hidden="1">dwh_aa_fact_trainers!$A$8:$P$26</definedName>
  </definedNames>
  <calcPr calcId="191028"/>
  <customWorkbookViews>
    <customWorkbookView name="Filter 1" guid="{3877CD48-FFF2-4293-9956-912F099C7B9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gvfLs0lrlKBzcLnshPLlaeIreyswrP/e3o9IVjmeRGQ="/>
    </ext>
  </extLst>
</workbook>
</file>

<file path=xl/calcChain.xml><?xml version="1.0" encoding="utf-8"?>
<calcChain xmlns="http://schemas.openxmlformats.org/spreadsheetml/2006/main">
  <c r="R8" i="41" l="1"/>
  <c r="Q8" i="41"/>
  <c r="R8" i="40"/>
  <c r="Q8" i="40"/>
  <c r="R8" i="39"/>
  <c r="Q8" i="39"/>
  <c r="R8" i="38"/>
  <c r="Q8" i="38"/>
  <c r="R8" i="37"/>
  <c r="Q8" i="37"/>
  <c r="R8" i="27"/>
  <c r="Q8" i="27"/>
  <c r="R8" i="29"/>
  <c r="Q8" i="29"/>
  <c r="Q8" i="36"/>
  <c r="Q8" i="17"/>
  <c r="N8" i="22"/>
  <c r="N7" i="22"/>
  <c r="Q17" i="35"/>
  <c r="Q8" i="35"/>
  <c r="R8" i="36" l="1"/>
  <c r="R17" i="35"/>
  <c r="R8" i="35"/>
  <c r="C9" i="22"/>
  <c r="O8" i="22"/>
  <c r="O7" i="22"/>
  <c r="R8" i="17"/>
  <c r="A49" i="2"/>
  <c r="A48" i="2"/>
  <c r="A47" i="2"/>
  <c r="A46" i="2"/>
  <c r="A44" i="2"/>
  <c r="A43" i="2"/>
  <c r="A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26AD8-11DC-4ACA-8C7A-7B91AB5EF6F9}" keepAlive="1" name="Query - FACT - בקשות תמיכה של אגודות ברמת קבוצה + בקשות אגודות גביע אירופה ברמת קבוצה" description="Connection to the 'FACT - בקשות תמיכה של אגודות ברמת קבוצה + בקשות אגודות גביע אירופה ברמת קבוצה' query in the workbook." type="5" refreshedVersion="8" background="1" saveData="1">
    <dbPr connection="Provider=Microsoft.Mashup.OleDb.1;Data Source=$Workbook$;Location=&quot;FACT - בקשות תמיכה של אגודות ברמת קבוצה + בקשות אגודות גביע אירופה ברמת קבוצה&quot;;Extended Properties=&quot;&quot;" command="SELECT * FROM [FACT - בקשות תמיכה של אגודות ברמת קבוצה + בקשות אגודות גביע אירופה ברמת קבוצה]"/>
  </connection>
  <connection id="2" xr16:uid="{591D0D10-1E23-48BD-8AC1-3BF8CA4AE4C9}" keepAlive="1" name="Query - אגודות" description="Connection to the 'אגודות' query in the workbook." type="5" refreshedVersion="0" background="1">
    <dbPr connection="Provider=Microsoft.Mashup.OleDb.1;Data Source=$Workbook$;Location=אגודות;Extended Properties=&quot;&quot;" command="SELECT * FROM [אגודות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<sst xmlns="http://schemas.openxmlformats.org/spreadsheetml/2006/main" count="1668" uniqueCount="421">
  <si>
    <t>STT Status</t>
  </si>
  <si>
    <t>In Progress</t>
  </si>
  <si>
    <t>Population</t>
  </si>
  <si>
    <r>
      <t>Source</t>
    </r>
    <r>
      <rPr>
        <b/>
        <sz val="10"/>
        <color theme="1"/>
        <rFont val="Calibri"/>
        <family val="2"/>
      </rPr>
      <t>1</t>
    </r>
  </si>
  <si>
    <t>Header</t>
  </si>
  <si>
    <t>Frequency</t>
  </si>
  <si>
    <t>Status</t>
  </si>
  <si>
    <t>Meta</t>
  </si>
  <si>
    <t>"</t>
  </si>
  <si>
    <t>": "</t>
  </si>
  <si>
    <t>Initial query</t>
  </si>
  <si>
    <t xml:space="preserve">WHERE support_request_code is not null and support_request_code &lt;&gt; '' and b.branch_name not like '%בדיק%'
</t>
  </si>
  <si>
    <t>Fact הישגיות אישי</t>
  </si>
  <si>
    <t>Parameters</t>
  </si>
  <si>
    <t>Target schema status</t>
  </si>
  <si>
    <t>Source System</t>
  </si>
  <si>
    <t>Loading method</t>
  </si>
  <si>
    <t>ETL Status</t>
  </si>
  <si>
    <t>CRM</t>
  </si>
  <si>
    <t>Dependencies</t>
  </si>
  <si>
    <t>Create Table script</t>
  </si>
  <si>
    <t>Target</t>
  </si>
  <si>
    <t xml:space="preserve">     Main Source</t>
  </si>
  <si>
    <t xml:space="preserve">     Review Status</t>
  </si>
  <si>
    <t xml:space="preserve">     MetaData</t>
  </si>
  <si>
    <t>dwh_aa_fact_achievement_personal</t>
  </si>
  <si>
    <t>Column Name</t>
  </si>
  <si>
    <t>Type</t>
  </si>
  <si>
    <t>Key</t>
  </si>
  <si>
    <t>Comment and/or Example</t>
  </si>
  <si>
    <t>Source</t>
  </si>
  <si>
    <t>Table</t>
  </si>
  <si>
    <t>Column/s Name/s</t>
  </si>
  <si>
    <t>Transformation</t>
  </si>
  <si>
    <t>דינה</t>
  </si>
  <si>
    <t>Category</t>
  </si>
  <si>
    <t>Version</t>
  </si>
  <si>
    <t>champion_type</t>
  </si>
  <si>
    <t>string</t>
  </si>
  <si>
    <t>סוג אליפות / תחרות</t>
  </si>
  <si>
    <t>DWH</t>
  </si>
  <si>
    <t>mrr_aa_new_mainbranchachievementses</t>
  </si>
  <si>
    <t>MainKey</t>
  </si>
  <si>
    <t>Core 1.0</t>
  </si>
  <si>
    <t>champion_date</t>
  </si>
  <si>
    <t>date</t>
  </si>
  <si>
    <t>מועד האליפות</t>
  </si>
  <si>
    <t>host_country</t>
  </si>
  <si>
    <t>מדינה מארחת</t>
  </si>
  <si>
    <t>competition_countries_cnt</t>
  </si>
  <si>
    <t>Int64</t>
  </si>
  <si>
    <t>מספר מדינות משתתפות בקטגוריה</t>
  </si>
  <si>
    <t>competition_gender</t>
  </si>
  <si>
    <t>מגדר תחרות</t>
  </si>
  <si>
    <t>personal_gender</t>
  </si>
  <si>
    <t>competition_age_category</t>
  </si>
  <si>
    <t>שכבת גיל תחרות</t>
  </si>
  <si>
    <t>age_personal_name</t>
  </si>
  <si>
    <t>athlete_age_category</t>
  </si>
  <si>
    <t>שכבת גיל של הספורטאי</t>
  </si>
  <si>
    <t>mrr_aa_new_athletesinsupportingrequests</t>
  </si>
  <si>
    <t>athlete_gender</t>
  </si>
  <si>
    <t>מגדר ספורטאי</t>
  </si>
  <si>
    <t>competitor_team_size</t>
  </si>
  <si>
    <t>בודד / זוג / שלשה (האם הוא מתחרה לבד, בזוג או בשלשה)</t>
  </si>
  <si>
    <t>sport_weight_category</t>
  </si>
  <si>
    <t>מקצוע-קטגוריה-משקל</t>
  </si>
  <si>
    <t>participants_cnt</t>
  </si>
  <si>
    <t>מספר ספורטאים משתתפים בקטגוריה</t>
  </si>
  <si>
    <t>is_olympic_profession_world</t>
  </si>
  <si>
    <t>מקצוע אולימפי/מ.עולם - כן / לא</t>
  </si>
  <si>
    <t>score</t>
  </si>
  <si>
    <t>float64</t>
  </si>
  <si>
    <t xml:space="preserve">ניקוד ספורטאי אישי </t>
  </si>
  <si>
    <t>mrr_aa_new_athletetoachievements</t>
  </si>
  <si>
    <t>athlete_per_achievements_score</t>
  </si>
  <si>
    <t>athlete_per_achievements_full_name_en</t>
  </si>
  <si>
    <t>שם מלא באנגלית</t>
  </si>
  <si>
    <t>athlete_support_request_code</t>
  </si>
  <si>
    <t>קוד ספורטאי בבקשת תמיכה במערכת CRM</t>
  </si>
  <si>
    <t>athlete_per_achievements_full_name_heb</t>
  </si>
  <si>
    <t>שם מלא בעברית</t>
  </si>
  <si>
    <t>competition_rank</t>
  </si>
  <si>
    <t>מקום בדירוג</t>
  </si>
  <si>
    <t>branch_id</t>
  </si>
  <si>
    <t>מזהה ענף</t>
  </si>
  <si>
    <t>mrr_aa_new_branchs</t>
  </si>
  <si>
    <t>branch_name</t>
  </si>
  <si>
    <t>שם ענף</t>
  </si>
  <si>
    <t>support_request_year</t>
  </si>
  <si>
    <t>שנת בקשת תמיכה</t>
  </si>
  <si>
    <t>mrr_aa_new_supportrequests</t>
  </si>
  <si>
    <t>support_request_code</t>
  </si>
  <si>
    <t>קוד בקשת תמיכה במערכת CRM</t>
  </si>
  <si>
    <t>Leave Empty</t>
  </si>
  <si>
    <t>where ga.support_request_code is not null 
	and ga.support_request_code &lt;&gt; ''
	and b.branch_name not like '%בדיק%'</t>
  </si>
  <si>
    <t xml:space="preserve">Fact הישגיות קבוצתי </t>
  </si>
  <si>
    <t>dwh_aa_fact_achievement_group</t>
  </si>
  <si>
    <t>group_branch_achievements_code</t>
  </si>
  <si>
    <t>קוד הישגיות קבוצתי במערכת CRM</t>
  </si>
  <si>
    <t>mrr_aa_new_groupialbranchachievementses</t>
  </si>
  <si>
    <t>end_date</t>
  </si>
  <si>
    <t>מועד סיום</t>
  </si>
  <si>
    <t>gender</t>
  </si>
  <si>
    <t>מגדר</t>
  </si>
  <si>
    <t>group_gender</t>
  </si>
  <si>
    <t>age_group_name</t>
  </si>
  <si>
    <t>ניקוד קבוצה</t>
  </si>
  <si>
    <t>group_achievements_score</t>
  </si>
  <si>
    <t>group_name</t>
  </si>
  <si>
    <t>שם של הקבוצה</t>
  </si>
  <si>
    <t>WHERE r.support_request_code is not null and r.support_request_code &lt;&gt; ''</t>
  </si>
  <si>
    <t>Fact ספורטאים</t>
  </si>
  <si>
    <t>new_athletesinsupportingrequests</t>
  </si>
  <si>
    <t>athlete_code</t>
  </si>
  <si>
    <t>מפתח לספורטאי במערכת CRM</t>
  </si>
  <si>
    <t>athlete_id</t>
  </si>
  <si>
    <t>מזהה ספורטאי בבקשת תמיכה</t>
  </si>
  <si>
    <t>request_type</t>
  </si>
  <si>
    <t>האם זה אישי או קבוצתי</t>
  </si>
  <si>
    <t>Calculated</t>
  </si>
  <si>
    <t xml:space="preserve">union </t>
  </si>
  <si>
    <t>association_id</t>
  </si>
  <si>
    <t>מזהה איגוד</t>
  </si>
  <si>
    <t>mrr_aa_accounts</t>
  </si>
  <si>
    <t>association_name</t>
  </si>
  <si>
    <t>שם איגוד</t>
  </si>
  <si>
    <t>society_id</t>
  </si>
  <si>
    <t>מזהה אגודה</t>
  </si>
  <si>
    <t>mrr_aa_new_societyunions</t>
  </si>
  <si>
    <t>society_name</t>
  </si>
  <si>
    <t>שם אגודה</t>
  </si>
  <si>
    <t>team_number</t>
  </si>
  <si>
    <t>מספר קבוצה</t>
  </si>
  <si>
    <t>מגדר הספורטאי</t>
  </si>
  <si>
    <t>athlete_final_score</t>
  </si>
  <si>
    <t>ניקוד ספורטאי</t>
  </si>
  <si>
    <t>team_code</t>
  </si>
  <si>
    <t>מפתח לקבוצה במערכת CRM</t>
  </si>
  <si>
    <t>team_name</t>
  </si>
  <si>
    <t>שם קבוצה</t>
  </si>
  <si>
    <t>mrr_aa_new_teams</t>
  </si>
  <si>
    <t>league_type</t>
  </si>
  <si>
    <t>שם סוג ליגה</t>
  </si>
  <si>
    <t>mrr_aa_new_aa_leagues</t>
  </si>
  <si>
    <t>age</t>
  </si>
  <si>
    <t>גיל הספורטאי</t>
  </si>
  <si>
    <t>mrr_aa_new_athletesinsupportingrequests, mrr_aa_new_supportrequests</t>
  </si>
  <si>
    <t>r.assessment_year - a.birth_year as age</t>
  </si>
  <si>
    <t>קטגוריית גיל ספורטאי</t>
  </si>
  <si>
    <t>athlete_has_insurance</t>
  </si>
  <si>
    <t>האם לספורטאי יש ביטוח - כן/לא</t>
  </si>
  <si>
    <t>athlete_has_medical_check</t>
  </si>
  <si>
    <t>האם עבר בדיקה רפואית - כן/לא</t>
  </si>
  <si>
    <t>is_pass_threshold_athlete</t>
  </si>
  <si>
    <t>עבר תנאי סף ברמת ספורטאי? כן/לא</t>
  </si>
  <si>
    <t>is_pass_threshold_condition</t>
  </si>
  <si>
    <t>is_budget_pass_final_threshold</t>
  </si>
  <si>
    <t>עבר תנאי סף ברמת בקשת תמיכה</t>
  </si>
  <si>
    <t>is_pass_threshold_team</t>
  </si>
  <si>
    <t>עבר תנאי סף ברמת קבוצה? כן/לא/לא רלוונטי. עבר = עומד בתנאי סף רגיל או בנסיבות מיוחדות (או/או). רלוונטי רק בבקשה קבוצתית</t>
  </si>
  <si>
    <t>is_pass_threshold_condition, is_pass_special_threshold_condition</t>
  </si>
  <si>
    <t>if request_type='קבוצה רגילה' then CASE WHEN t.is_pass_threshold_condition='כן' OR t.is_pass_special_threshold_condition='כן' THEN 'כן' ELSE 'לא' END else 'לא רלוונטי'</t>
  </si>
  <si>
    <t>is_pass_threshold_society</t>
  </si>
  <si>
    <t>עבר תנאי סף ברמת אגודה? כן/לא/לא רלוונטי. לא רלוונטי בבקשת איגוד</t>
  </si>
  <si>
    <t>CASE WHEN su.is_pass_threshold_condition='עבר תנאי סף' THEN 'כן' ELSE 'לא' END  (בבלוק אישי su=societyunions; בבלוק קבוצה suu=societyunions)</t>
  </si>
  <si>
    <t>is_pass_threshold_association</t>
  </si>
  <si>
    <t>עבר תנאי סף ברמת איגוד ? כן/לא</t>
  </si>
  <si>
    <t>CASE WHEN r.is_pass_threshold_condition='עבר' THEN 'כן' ELSE 'לא' END</t>
  </si>
  <si>
    <t>is_pass_threshold_total_association</t>
  </si>
  <si>
    <t xml:space="preserve">תנאי סף כוללים איגוד </t>
  </si>
  <si>
    <t>mrr_aa_new_supportrequests, mrr_aa_new_athletesinsupportingrequests</t>
  </si>
  <si>
    <t>is_pass_threshold_condition, is_pass_threshold_condition</t>
  </si>
  <si>
    <t>CASE WHEN r.is_pass_threshold_condition='עבר' AND a.is_pass_threshold_condition='כן' THEN 'כן' ELSE 'לא' END</t>
  </si>
  <si>
    <t>is_pass_threshold_total_society</t>
  </si>
  <si>
    <t xml:space="preserve">תנאי סף כוללים אגודה </t>
  </si>
  <si>
    <t>mrr_aa_new_supportrequests, mrr_aa_new_societyunions, mrr_aa_new_teams, mrr_aa_new_athletesinsupportingrequests</t>
  </si>
  <si>
    <t>is_pass_threshold_condition, is_pass_threshold_condition, is_pass_threshold_condition, is_pass_special_threshold_condition, is_pass_threshold_condition</t>
  </si>
  <si>
    <t>CASE WHEN r.is_pass_threshold_condition='עבר' AND su.is_pass_threshold_condition='עבר תנאי סף' AND a.is_pass_threshold_condition='כן' AND (בקבוצה רגילה גם: t.is_pass_threshold_condition='כן' OR t.is_pass_special_threshold_condition='כן') THEN 'כן' ELSE 'לא' END</t>
  </si>
  <si>
    <t>authority_id</t>
  </si>
  <si>
    <t>מזהה רשות</t>
  </si>
  <si>
    <t>mrr_aa_new_localauthorities</t>
  </si>
  <si>
    <t>authority_name</t>
  </si>
  <si>
    <t>שם רשות</t>
  </si>
  <si>
    <t xml:space="preserve">בקשות תמיכה לפי שנים </t>
  </si>
  <si>
    <t>SF</t>
  </si>
  <si>
    <t>סוג הגשה - קבוצה / אישי / איגוד / אליפות אירופה</t>
  </si>
  <si>
    <t>request_type_filter</t>
  </si>
  <si>
    <t>סוג לפילטר - איגוד / אגודה</t>
  </si>
  <si>
    <t>request_name</t>
  </si>
  <si>
    <t>שם  המגיש - שם איגוד / שם אגודה</t>
  </si>
  <si>
    <t>mrr_aa_accounts,mrr_aa_new_societyunions</t>
  </si>
  <si>
    <t>approved_amount</t>
  </si>
  <si>
    <t>סכום מאושר - תקציב בפועל</t>
  </si>
  <si>
    <t>mrr_aa_budgets</t>
  </si>
  <si>
    <t>union</t>
  </si>
  <si>
    <t>מזהה קבוצה</t>
  </si>
  <si>
    <t>סוג ליגה</t>
  </si>
  <si>
    <t>league_name</t>
  </si>
  <si>
    <t>שם ליגה</t>
  </si>
  <si>
    <t>male_cnt</t>
  </si>
  <si>
    <t>כמות ספורטאים גברים</t>
  </si>
  <si>
    <t>COUNT(*) FILTER (WHERE athlete_gender = 'זכר') AS male_cnt</t>
  </si>
  <si>
    <t>female_cnt</t>
  </si>
  <si>
    <t>כמות ספורטאיות נשים</t>
  </si>
  <si>
    <t>COUNT(*) FILTER (WHERE athlete_gender = 'נקבה') AS female_cnt,</t>
  </si>
  <si>
    <t>male_score</t>
  </si>
  <si>
    <t>ניקוד גברים ספורטאים</t>
  </si>
  <si>
    <t>mrr_aa_new_athletesinsupportingrequests, mrr_aa_new_europehampionshipforteams</t>
  </si>
  <si>
    <t>SUM(athlete_final_score) FILTER (WHERE athlete_gender = 'זכר')  AS male_score,
if europe then SUM(CASE WHEN ag.age_group_gender = 'זכר' THEN ec.europe_champion_score ELSE 0.0 END)</t>
  </si>
  <si>
    <t>female_score</t>
  </si>
  <si>
    <t>ניקוד נשים ספורטאיות</t>
  </si>
  <si>
    <t>mrr_aa_new_athletesinsupportingrequests,mrr_aa_new_europehampionshipforteams</t>
  </si>
  <si>
    <t>SUM(athlete_final_score) FILTER (WHERE athlete_gender = 'נקבה') AS female_score
if europe then SUM(CASE WHEN ag.age_group_gender = 'נקבה' THEN ec.europe_champion_score ELSE 0.0 END)</t>
  </si>
  <si>
    <t>achievement_score</t>
  </si>
  <si>
    <t>תוספת הישגיות לאגודות (קיים רק בבקשות של ענף קבוצתי)</t>
  </si>
  <si>
    <t>male_achievement_score</t>
  </si>
  <si>
    <t>ניקוד הישגיות גברים באיגוד</t>
  </si>
  <si>
    <t>female_achievement_score</t>
  </si>
  <si>
    <t>ניקוד הישגיות נשים באיגוד</t>
  </si>
  <si>
    <t>professional_score</t>
  </si>
  <si>
    <t>ניקוד מקצועיות - רלוונטי לאיגודים</t>
  </si>
  <si>
    <t>coach_association_score</t>
  </si>
  <si>
    <t>ניקוד ליווי העסקת מאמנים באגודות - רלוונטי לאיגודים</t>
  </si>
  <si>
    <t>branch_cost_score</t>
  </si>
  <si>
    <t>ניקוד עלות הפעלת ענף - רלוונטי לאיגודים</t>
  </si>
  <si>
    <t>women_promotion_score</t>
  </si>
  <si>
    <t>ניקוד קידום ספורט נשים - רלוונטי לאיגודים</t>
  </si>
  <si>
    <t>excellent_center_score</t>
  </si>
  <si>
    <t>ניקוד מרכזי מצויינות - רלוונטי לאיגודים</t>
  </si>
  <si>
    <t>is_pass_professional_condition</t>
  </si>
  <si>
    <t>עומד בתנאי סף מקצועיים - כן או לא</t>
  </si>
  <si>
    <t>is_pass_admin_condition</t>
  </si>
  <si>
    <t>עומד בתנאי סף מנהלתיים - כן או לא</t>
  </si>
  <si>
    <t>עבר תנאי סף? עבר / לא עבר</t>
  </si>
  <si>
    <t>עבר תנאי סף ברמת קבוצה? כן/לא/לא רלוונטי</t>
  </si>
  <si>
    <t>if request_type in ('קבוצה רגילה','אליפות אירופה') then CASE WHEN t.is_pass_threshold_condition='כן' OR t.is_pass_special_threshold_condition='כן' THEN 'כן' ELSE 'לא' END else 'לא רלוונטי'</t>
  </si>
  <si>
    <t>עבר תנאי סף ברמת אגודה? כן/לא/לא רלוונטי</t>
  </si>
  <si>
    <t>if request_type='איגוד' then 'לא רלוונטי' else CASE WHEN su.is_pass_threshold_condition='עבר תנאי סף' THEN 'כן' ELSE 'לא' END</t>
  </si>
  <si>
    <t>עבר תנאי סף ברמת איגוד? כן/לא</t>
  </si>
  <si>
    <t>is_pass_threshold_total</t>
  </si>
  <si>
    <t>עבר תנאי סף בכל הרמות הרלוונטיות לסוג הבקשה? כן/לא</t>
  </si>
  <si>
    <t>mrr_aa_new_supportrequests, mrr_aa_new_societyunions, mrr_aa_new_teams</t>
  </si>
  <si>
    <t>is_pass_threshold_condition, is_pass_threshold_condition, is_pass_threshold_condition, is_pass_special_threshold_condition</t>
  </si>
  <si>
    <t>AND על הרמות הרלוונטיות → אישי: society='כן' AND association='כן' · קבוצה/אירופה: team='כן' AND society='כן' AND association='כן' · איגוד: association='כן' · אחרת 'לא'</t>
  </si>
  <si>
    <t>שנת תמיכה</t>
  </si>
  <si>
    <t>area_name</t>
  </si>
  <si>
    <t>יעוד תחום ענף</t>
  </si>
  <si>
    <t>יש union כדיי להביא גם מאמנים ומדריכים מטבלת מאמנים וגם להביא מאמנים לאומיים מטבלת תפקידים</t>
  </si>
  <si>
    <t>Fact מאמנים</t>
  </si>
  <si>
    <t>מזהה (תז / דרכון) לאדם</t>
  </si>
  <si>
    <t>mrr_aa_new_trainers, mrr_aa_new_officials</t>
  </si>
  <si>
    <t>trainer_id, official_id</t>
  </si>
  <si>
    <t>encode(digest(o.official_id::text, 'sha256'), 'hex') as person_id</t>
  </si>
  <si>
    <t>person_code</t>
  </si>
  <si>
    <t>מפתח למאמן/מדריך במערכת CRM</t>
  </si>
  <si>
    <t>trainer_code, official_code</t>
  </si>
  <si>
    <t>first_name</t>
  </si>
  <si>
    <t>שם פרטי</t>
  </si>
  <si>
    <t>trainer_first_name, official_first_name</t>
  </si>
  <si>
    <t>last_name</t>
  </si>
  <si>
    <t>שם משפחה</t>
  </si>
  <si>
    <t>trainer_last_name, official_last_name</t>
  </si>
  <si>
    <t>trainer_gender, official_gender</t>
  </si>
  <si>
    <t>role_desc</t>
  </si>
  <si>
    <t>תיאור תפקיד - מאמן/מדריך/מאמן לאומי</t>
  </si>
  <si>
    <t>instructor_or_trainer, official_desc</t>
  </si>
  <si>
    <t>מספר ענף</t>
  </si>
  <si>
    <t>WHERE  r.support_request_code is not null</t>
  </si>
  <si>
    <t>mrr_aa_new_officials</t>
  </si>
  <si>
    <t>official_id</t>
  </si>
  <si>
    <t>official_code</t>
  </si>
  <si>
    <t>מפתח לתפקיד במערכת CRM</t>
  </si>
  <si>
    <t>official_first_name</t>
  </si>
  <si>
    <t>official_last_name</t>
  </si>
  <si>
    <t>official_gender</t>
  </si>
  <si>
    <t>official_desc</t>
  </si>
  <si>
    <t>תיאור תפקיד</t>
  </si>
  <si>
    <t>Fact אחוזי תקציב</t>
  </si>
  <si>
    <t>MRR</t>
  </si>
  <si>
    <t>support_year</t>
  </si>
  <si>
    <t>mrr_aa_new_allocationbudgetstoareaandmeasurements</t>
  </si>
  <si>
    <t>allocation_budget_amount</t>
  </si>
  <si>
    <t>סכום תקציב</t>
  </si>
  <si>
    <t>goal_type</t>
  </si>
  <si>
    <t>סוג יעוד (תחום/אמת מידה)</t>
  </si>
  <si>
    <t>יעוד תחום</t>
  </si>
  <si>
    <t>measurement_for_area</t>
  </si>
  <si>
    <t>יעוד אמת מידה</t>
  </si>
  <si>
    <t>percent</t>
  </si>
  <si>
    <t>אחוז הקצאת תקציב</t>
  </si>
  <si>
    <t>WHERE a.association_name not like '%בדיק%'
	and a.association_type = 'איגוד ספורט'</t>
  </si>
  <si>
    <t>איגודים</t>
  </si>
  <si>
    <t>מספר איגוד</t>
  </si>
  <si>
    <t>שם האיגוד</t>
  </si>
  <si>
    <t>provider_num</t>
  </si>
  <si>
    <t>מספר ספק במרכבה</t>
  </si>
  <si>
    <t>main_branch_name</t>
  </si>
  <si>
    <t>ענף ראשי</t>
  </si>
  <si>
    <t>main_branch_code</t>
  </si>
  <si>
    <t>קוד ענף ראשי במערכת CRM</t>
  </si>
  <si>
    <t>)</t>
  </si>
  <si>
    <t>WHERE s.society_name not like '%בדיק%'
	and s.society_id &lt;&gt; 0
	  and exists (
	        SELECT 1
	        FROM mrr_aa_new_societyunions su
	        WHERE su.society_code = s.society_code
	          and su.support_request_code &lt;&gt; '')</t>
  </si>
  <si>
    <t>אגודות</t>
  </si>
  <si>
    <t>מספר אגודה</t>
  </si>
  <si>
    <t>mrr_aa_dim_society</t>
  </si>
  <si>
    <t>authority_code</t>
  </si>
  <si>
    <t>קוד רשות מקומית במערכת CRM</t>
  </si>
  <si>
    <t>רשות מקומית - לא רלוונטי</t>
  </si>
  <si>
    <t>FROM mrr_aa_new_localauthorities a
          left join mrr_aa_municipalities m on a.authority_id = m.authority_id</t>
  </si>
  <si>
    <t>רשות מקומית</t>
  </si>
  <si>
    <t>new_localauthorities</t>
  </si>
  <si>
    <t>crm_district</t>
  </si>
  <si>
    <t>מחוז לפי מערכת ה CRM</t>
  </si>
  <si>
    <t>district</t>
  </si>
  <si>
    <t>head_authority_name</t>
  </si>
  <si>
    <t>שם ראש הרשות</t>
  </si>
  <si>
    <t>key_authority</t>
  </si>
  <si>
    <t>מפתח רשות מגונרט</t>
  </si>
  <si>
    <t>concat(a.authority_id, ' - ', a.authority_name)</t>
  </si>
  <si>
    <t>lamas_district</t>
  </si>
  <si>
    <t>מחוז לפי הלמ"ס</t>
  </si>
  <si>
    <t>mrr_aa_municipalities</t>
  </si>
  <si>
    <t>municipal_status</t>
  </si>
  <si>
    <t>מעמד מוניצאפלי - רשות / מועצה וכו</t>
  </si>
  <si>
    <t>total_population</t>
  </si>
  <si>
    <t>סה"כ אוכלוסייה</t>
  </si>
  <si>
    <t>jews_others_pct</t>
  </si>
  <si>
    <t>יהודים ואחרים (אחוזים מתוך כלל אוכלוסיית הישראלים)</t>
  </si>
  <si>
    <t>jews_pct</t>
  </si>
  <si>
    <t>יהודים (אחוזים מתוך יהודים ואחרים)</t>
  </si>
  <si>
    <t>arab_pct</t>
  </si>
  <si>
    <t>ערבים (אחוזים מתוך כלל אוכלוסיית הישראלים)</t>
  </si>
  <si>
    <t>muslim_pct</t>
  </si>
  <si>
    <t>מוסלמים (אחוזים מתוך האוכלוסייה הערבית)</t>
  </si>
  <si>
    <t>christian_pct</t>
  </si>
  <si>
    <t>נוצרים (אחוזים מתוך האוכלוסייה הערבית)</t>
  </si>
  <si>
    <t>druze_pct</t>
  </si>
  <si>
    <t>דרוזים (אחוזים מתוך האוכלוסייה הערבית)</t>
  </si>
  <si>
    <t>total_males</t>
  </si>
  <si>
    <t>סה"כ גברים</t>
  </si>
  <si>
    <t>total_females</t>
  </si>
  <si>
    <t>סה"כ נשים</t>
  </si>
  <si>
    <t>total_israelis</t>
  </si>
  <si>
    <t>סה"כ ישראלים</t>
  </si>
  <si>
    <t>socioeconomic_cluster</t>
  </si>
  <si>
    <t>אשכול חברתי</t>
  </si>
  <si>
    <t>peripherality_cluster</t>
  </si>
  <si>
    <t>אשכול פריפריאלי</t>
  </si>
  <si>
    <t>WHERE 1 = 1
	and b.status_code = 1
	and b.branch_name not like '%בדיק%</t>
  </si>
  <si>
    <t>ענפים</t>
  </si>
  <si>
    <t>branch_code</t>
  </si>
  <si>
    <t>קוד ענף במערכת CRM</t>
  </si>
  <si>
    <t>personal_or_group</t>
  </si>
  <si>
    <t>קבוצתי/אישי</t>
  </si>
  <si>
    <t>case when b.personal_or_group = 'אישי רבי משתתפים' then 'אישי'
            else b.personal_or_group 
end as personal_or_group</t>
  </si>
  <si>
    <t>branch_type</t>
  </si>
  <si>
    <t>סוג ענף</t>
  </si>
  <si>
    <t>case when b.is_favorite_branch = 1 then 'מועדף'
                  when b.is_thinking_branch = 1 then 'חשיבה'
	 when b.is_upper_branch = 1 then 'על'
	 else 'רגיל'
end as branch_type,</t>
  </si>
  <si>
    <t>is_sub_branch</t>
  </si>
  <si>
    <t>האם תת ענף?</t>
  </si>
  <si>
    <t>sport_type</t>
  </si>
  <si>
    <t>סוג ספורט -פראלימפי וכו</t>
  </si>
  <si>
    <t>is_olympic_branch</t>
  </si>
  <si>
    <t>האם ענף אולימפי?</t>
  </si>
  <si>
    <t>is_special_needs_branch</t>
  </si>
  <si>
    <t>האם ענף עם צרכים מיוחדים?</t>
  </si>
  <si>
    <t xml:space="preserve">ענף ראשי </t>
  </si>
  <si>
    <t>new_branchs</t>
  </si>
  <si>
    <t>branch_area</t>
  </si>
  <si>
    <t>ייעוד תחום ענף</t>
  </si>
  <si>
    <t>_new_id_areainsupporttest_value_label</t>
  </si>
  <si>
    <t>status_code</t>
  </si>
  <si>
    <t>האם רשומה פעילה</t>
  </si>
  <si>
    <t xml:space="preserve">FROM mrr_aa_new_teams t
	left join mrr_aa_new_supportrequests r on t.support_request_code = r.support_request_code
WHERE r.support_request_code is not null </t>
  </si>
  <si>
    <t>קבוצה (אגודות)</t>
  </si>
  <si>
    <t>new_teams</t>
  </si>
  <si>
    <t>קוד קבוצה במערכת CRM</t>
  </si>
  <si>
    <t>team_achievement_score</t>
  </si>
  <si>
    <t>תוספת הישגיות</t>
  </si>
  <si>
    <t>table name</t>
  </si>
  <si>
    <t>accounts</t>
  </si>
  <si>
    <t>new_societies</t>
  </si>
  <si>
    <t>new_ageforgroups</t>
  </si>
  <si>
    <t>new_trainers</t>
  </si>
  <si>
    <t>new_officials</t>
  </si>
  <si>
    <t>new_athletetoachievements</t>
  </si>
  <si>
    <t>new_groupialbranchachievementse</t>
  </si>
  <si>
    <t>new_branchtoaccounts</t>
  </si>
  <si>
    <t>new_aa_leagues</t>
  </si>
  <si>
    <t>new_societyunions</t>
  </si>
  <si>
    <t>new_europehampionshipforteams</t>
  </si>
  <si>
    <t>new_supportrequests</t>
  </si>
  <si>
    <t>new_athletesinsupportingrequest</t>
  </si>
  <si>
    <t>Sources</t>
  </si>
  <si>
    <t>DL.ivc</t>
  </si>
  <si>
    <t>DL.cb</t>
  </si>
  <si>
    <t>System</t>
  </si>
  <si>
    <t>Categories</t>
  </si>
  <si>
    <t>Category1</t>
  </si>
  <si>
    <t>Category2</t>
  </si>
  <si>
    <t>Versions</t>
  </si>
  <si>
    <t>Core 1.1</t>
  </si>
  <si>
    <t>Extention</t>
  </si>
  <si>
    <t>STT Statuses</t>
  </si>
  <si>
    <t>Ready for Review</t>
  </si>
  <si>
    <t>In Review</t>
  </si>
  <si>
    <t>On Hold</t>
  </si>
  <si>
    <t>Done</t>
  </si>
  <si>
    <t>ETL Statuses</t>
  </si>
  <si>
    <t>Dev Done</t>
  </si>
  <si>
    <t>Prod Done</t>
  </si>
  <si>
    <t>Statuses</t>
  </si>
  <si>
    <t>Data Types</t>
  </si>
  <si>
    <t>Snowflake Data Types</t>
  </si>
  <si>
    <t>boolean</t>
  </si>
  <si>
    <t>datetime</t>
  </si>
  <si>
    <t>variant</t>
  </si>
  <si>
    <t>object</t>
  </si>
  <si>
    <t>array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</si>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</sst>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rgb="FF008000"/>
      <name val="Inconsolata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name val="Calibri"/>
      <family val="2"/>
    </font>
    <font>
      <sz val="11"/>
      <color rgb="FF008000"/>
      <name val="Calibri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  <scheme val="minor"/>
    </font>
    <font>
      <strike/>
      <sz val="10"/>
      <color theme="1"/>
      <name val="Calibri"/>
      <family val="2"/>
    </font>
    <font>
      <strike/>
      <sz val="10"/>
      <color rgb="FF000000"/>
      <name val="Calibri"/>
      <family val="2"/>
    </font>
    <font>
      <strike/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255"/>
    </xf>
    <xf numFmtId="0" fontId="1" fillId="5" borderId="1" xfId="0" applyFont="1" applyFill="1" applyBorder="1"/>
    <xf numFmtId="0" fontId="1" fillId="7" borderId="1" xfId="0" applyFont="1" applyFill="1" applyBorder="1"/>
    <xf numFmtId="0" fontId="4" fillId="11" borderId="11" xfId="0" applyFont="1" applyFill="1" applyBorder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10" borderId="13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/>
    </xf>
    <xf numFmtId="0" fontId="12" fillId="11" borderId="2" xfId="0" applyFont="1" applyFill="1" applyBorder="1"/>
    <xf numFmtId="0" fontId="6" fillId="5" borderId="1" xfId="0" applyFont="1" applyFill="1" applyBorder="1"/>
    <xf numFmtId="0" fontId="6" fillId="7" borderId="1" xfId="0" applyFont="1" applyFill="1" applyBorder="1"/>
    <xf numFmtId="0" fontId="12" fillId="11" borderId="6" xfId="0" applyFont="1" applyFill="1" applyBorder="1"/>
    <xf numFmtId="0" fontId="6" fillId="10" borderId="1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8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10" borderId="13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vertical="top"/>
    </xf>
    <xf numFmtId="0" fontId="6" fillId="10" borderId="13" xfId="0" applyFont="1" applyFill="1" applyBorder="1" applyAlignment="1">
      <alignment vertical="top"/>
    </xf>
    <xf numFmtId="0" fontId="6" fillId="10" borderId="1" xfId="0" applyFont="1" applyFill="1" applyBorder="1" applyAlignment="1">
      <alignment horizontal="center" vertical="top"/>
    </xf>
    <xf numFmtId="0" fontId="6" fillId="10" borderId="11" xfId="0" applyFont="1" applyFill="1" applyBorder="1" applyAlignment="1">
      <alignment vertical="top"/>
    </xf>
    <xf numFmtId="0" fontId="1" fillId="10" borderId="1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1" fillId="10" borderId="1" xfId="0" applyFont="1" applyFill="1" applyBorder="1" applyAlignment="1">
      <alignment horizontal="center" vertical="top"/>
    </xf>
    <xf numFmtId="0" fontId="6" fillId="5" borderId="15" xfId="0" applyFont="1" applyFill="1" applyBorder="1"/>
    <xf numFmtId="0" fontId="6" fillId="7" borderId="13" xfId="0" applyFont="1" applyFill="1" applyBorder="1"/>
    <xf numFmtId="0" fontId="6" fillId="7" borderId="15" xfId="0" applyFont="1" applyFill="1" applyBorder="1"/>
    <xf numFmtId="0" fontId="5" fillId="0" borderId="0" xfId="0" applyFont="1" applyAlignment="1">
      <alignment vertical="top" wrapText="1"/>
    </xf>
    <xf numFmtId="0" fontId="6" fillId="6" borderId="13" xfId="0" applyFont="1" applyFill="1" applyBorder="1"/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4" borderId="13" xfId="0" applyFont="1" applyFill="1" applyBorder="1" applyAlignment="1">
      <alignment horizontal="left" vertical="top" wrapText="1"/>
    </xf>
    <xf numFmtId="0" fontId="1" fillId="6" borderId="13" xfId="0" applyFont="1" applyFill="1" applyBorder="1"/>
    <xf numFmtId="0" fontId="11" fillId="0" borderId="15" xfId="0" applyFont="1" applyBorder="1"/>
    <xf numFmtId="0" fontId="1" fillId="5" borderId="15" xfId="0" applyFont="1" applyFill="1" applyBorder="1"/>
    <xf numFmtId="0" fontId="6" fillId="6" borderId="14" xfId="0" applyFont="1" applyFill="1" applyBorder="1"/>
    <xf numFmtId="0" fontId="6" fillId="6" borderId="14" xfId="0" applyFont="1" applyFill="1" applyBorder="1" applyAlignment="1">
      <alignment horizontal="left"/>
    </xf>
    <xf numFmtId="0" fontId="0" fillId="12" borderId="0" xfId="0" applyFill="1" applyAlignment="1">
      <alignment vertical="top"/>
    </xf>
    <xf numFmtId="0" fontId="5" fillId="10" borderId="1" xfId="0" applyFont="1" applyFill="1" applyBorder="1" applyAlignment="1">
      <alignment vertical="top"/>
    </xf>
    <xf numFmtId="0" fontId="5" fillId="10" borderId="11" xfId="0" applyFont="1" applyFill="1" applyBorder="1" applyAlignment="1">
      <alignment vertical="top"/>
    </xf>
    <xf numFmtId="0" fontId="5" fillId="10" borderId="15" xfId="0" applyFont="1" applyFill="1" applyBorder="1" applyAlignment="1">
      <alignment horizontal="center" vertical="top"/>
    </xf>
    <xf numFmtId="0" fontId="5" fillId="10" borderId="8" xfId="0" applyFont="1" applyFill="1" applyBorder="1" applyAlignment="1">
      <alignment vertical="top"/>
    </xf>
    <xf numFmtId="0" fontId="5" fillId="10" borderId="8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12" fillId="11" borderId="2" xfId="0" applyFont="1" applyFill="1" applyBorder="1" applyAlignment="1">
      <alignment wrapText="1"/>
    </xf>
    <xf numFmtId="0" fontId="6" fillId="10" borderId="15" xfId="0" applyFont="1" applyFill="1" applyBorder="1" applyAlignment="1">
      <alignment vertical="top"/>
    </xf>
    <xf numFmtId="0" fontId="6" fillId="10" borderId="15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vertical="top" wrapText="1" readingOrder="2"/>
    </xf>
    <xf numFmtId="0" fontId="11" fillId="10" borderId="11" xfId="0" applyFont="1" applyFill="1" applyBorder="1" applyAlignment="1">
      <alignment vertical="top"/>
    </xf>
    <xf numFmtId="0" fontId="5" fillId="10" borderId="15" xfId="0" applyFont="1" applyFill="1" applyBorder="1" applyAlignment="1">
      <alignment vertical="top" readingOrder="2"/>
    </xf>
    <xf numFmtId="0" fontId="5" fillId="10" borderId="15" xfId="0" applyFont="1" applyFill="1" applyBorder="1" applyAlignment="1">
      <alignment vertical="top"/>
    </xf>
    <xf numFmtId="0" fontId="5" fillId="4" borderId="15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/>
    </xf>
    <xf numFmtId="0" fontId="15" fillId="4" borderId="13" xfId="0" applyFont="1" applyFill="1" applyBorder="1" applyAlignment="1">
      <alignment vertical="top" wrapText="1"/>
    </xf>
    <xf numFmtId="0" fontId="15" fillId="5" borderId="15" xfId="0" applyFont="1" applyFill="1" applyBorder="1"/>
    <xf numFmtId="0" fontId="15" fillId="5" borderId="1" xfId="0" applyFont="1" applyFill="1" applyBorder="1"/>
    <xf numFmtId="0" fontId="16" fillId="6" borderId="13" xfId="0" applyFont="1" applyFill="1" applyBorder="1"/>
    <xf numFmtId="0" fontId="15" fillId="7" borderId="13" xfId="0" applyFont="1" applyFill="1" applyBorder="1"/>
    <xf numFmtId="0" fontId="15" fillId="7" borderId="15" xfId="0" applyFont="1" applyFill="1" applyBorder="1"/>
    <xf numFmtId="0" fontId="15" fillId="7" borderId="1" xfId="0" applyFont="1" applyFill="1" applyBorder="1"/>
    <xf numFmtId="0" fontId="17" fillId="11" borderId="6" xfId="0" applyFont="1" applyFill="1" applyBorder="1"/>
    <xf numFmtId="0" fontId="18" fillId="0" borderId="0" xfId="0" applyFont="1"/>
    <xf numFmtId="0" fontId="5" fillId="10" borderId="8" xfId="0" applyFont="1" applyFill="1" applyBorder="1" applyAlignment="1">
      <alignment vertical="top" readingOrder="2"/>
    </xf>
    <xf numFmtId="0" fontId="19" fillId="10" borderId="1" xfId="0" applyFont="1" applyFill="1" applyBorder="1" applyAlignment="1">
      <alignment horizontal="left" vertical="top"/>
    </xf>
    <xf numFmtId="0" fontId="19" fillId="10" borderId="1" xfId="0" applyFont="1" applyFill="1" applyBorder="1" applyAlignment="1">
      <alignment vertical="top"/>
    </xf>
    <xf numFmtId="0" fontId="19" fillId="10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19" fillId="4" borderId="1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horizontal="right" vertical="top"/>
    </xf>
    <xf numFmtId="0" fontId="5" fillId="4" borderId="11" xfId="0" applyFont="1" applyFill="1" applyBorder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5" fillId="13" borderId="1" xfId="0" applyFont="1" applyFill="1" applyBorder="1"/>
    <xf numFmtId="0" fontId="6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wrapText="1" readingOrder="2"/>
    </xf>
    <xf numFmtId="0" fontId="20" fillId="10" borderId="1" xfId="0" applyFont="1" applyFill="1" applyBorder="1" applyAlignment="1">
      <alignment vertical="top" wrapText="1" readingOrder="2"/>
    </xf>
    <xf numFmtId="0" fontId="19" fillId="4" borderId="1" xfId="0" applyFont="1" applyFill="1" applyBorder="1" applyAlignment="1">
      <alignment vertical="top" wrapText="1"/>
    </xf>
    <xf numFmtId="0" fontId="21" fillId="10" borderId="11" xfId="0" applyFont="1" applyFill="1" applyBorder="1" applyAlignment="1">
      <alignment vertical="top"/>
    </xf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7" borderId="13" xfId="0" applyFont="1" applyFill="1" applyBorder="1"/>
    <xf numFmtId="0" fontId="6" fillId="7" borderId="15" xfId="0" applyFont="1" applyFill="1" applyBorder="1"/>
    <xf numFmtId="0" fontId="5" fillId="4" borderId="13" xfId="0" applyFont="1" applyFill="1" applyBorder="1" applyAlignment="1">
      <alignment vertical="top"/>
    </xf>
    <xf numFmtId="0" fontId="5" fillId="4" borderId="15" xfId="0" applyFont="1" applyFill="1" applyBorder="1" applyAlignment="1">
      <alignment vertical="top"/>
    </xf>
    <xf numFmtId="0" fontId="5" fillId="0" borderId="0" xfId="0" applyFont="1"/>
    <xf numFmtId="0" fontId="5" fillId="0" borderId="12" xfId="0" applyFont="1" applyBorder="1"/>
    <xf numFmtId="0" fontId="5" fillId="0" borderId="0" xfId="0" applyFont="1" applyAlignment="1">
      <alignment vertical="top"/>
    </xf>
    <xf numFmtId="0" fontId="6" fillId="8" borderId="6" xfId="0" applyFont="1" applyFill="1" applyBorder="1" applyAlignment="1">
      <alignment vertical="top" wrapText="1"/>
    </xf>
    <xf numFmtId="0" fontId="11" fillId="0" borderId="6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6" fillId="8" borderId="7" xfId="0" applyFont="1" applyFill="1" applyBorder="1" applyAlignment="1">
      <alignment vertical="top" wrapText="1"/>
    </xf>
    <xf numFmtId="0" fontId="11" fillId="0" borderId="8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6" fillId="10" borderId="13" xfId="0" applyFont="1" applyFill="1" applyBorder="1" applyAlignment="1">
      <alignment horizontal="center" vertical="top"/>
    </xf>
    <xf numFmtId="0" fontId="11" fillId="0" borderId="14" xfId="0" applyFont="1" applyBorder="1" applyAlignment="1">
      <alignment vertical="top"/>
    </xf>
    <xf numFmtId="0" fontId="10" fillId="4" borderId="13" xfId="0" applyFont="1" applyFill="1" applyBorder="1" applyAlignment="1">
      <alignment horizontal="left" vertical="top"/>
    </xf>
    <xf numFmtId="0" fontId="11" fillId="0" borderId="15" xfId="0" applyFont="1" applyBorder="1" applyAlignment="1">
      <alignment vertical="top"/>
    </xf>
    <xf numFmtId="0" fontId="11" fillId="0" borderId="14" xfId="0" applyFont="1" applyBorder="1"/>
    <xf numFmtId="0" fontId="11" fillId="0" borderId="15" xfId="0" applyFont="1" applyBorder="1"/>
    <xf numFmtId="0" fontId="6" fillId="7" borderId="13" xfId="0" applyFont="1" applyFill="1" applyBorder="1" applyAlignment="1">
      <alignment horizontal="left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textRotation="255"/>
    </xf>
    <xf numFmtId="0" fontId="1" fillId="0" borderId="0" xfId="0" applyFont="1" applyAlignment="1">
      <alignment horizontal="center" vertical="center" textRotation="255"/>
    </xf>
    <xf numFmtId="0" fontId="0" fillId="0" borderId="0" xfId="0"/>
    <xf numFmtId="0" fontId="6" fillId="4" borderId="2" xfId="0" applyFont="1" applyFill="1" applyBorder="1" applyAlignment="1">
      <alignment horizontal="center" vertical="top" textRotation="255"/>
    </xf>
    <xf numFmtId="0" fontId="6" fillId="5" borderId="3" xfId="0" applyFont="1" applyFill="1" applyBorder="1" applyAlignment="1">
      <alignment horizontal="center" textRotation="255"/>
    </xf>
    <xf numFmtId="0" fontId="11" fillId="0" borderId="5" xfId="0" applyFont="1" applyBorder="1"/>
    <xf numFmtId="0" fontId="11" fillId="0" borderId="4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7" xfId="0" applyFont="1" applyBorder="1"/>
    <xf numFmtId="0" fontId="11" fillId="0" borderId="12" xfId="0" applyFont="1" applyBorder="1"/>
    <xf numFmtId="0" fontId="11" fillId="0" borderId="8" xfId="0" applyFont="1" applyBorder="1"/>
    <xf numFmtId="0" fontId="9" fillId="6" borderId="2" xfId="0" applyFont="1" applyFill="1" applyBorder="1" applyAlignment="1">
      <alignment horizontal="center" textRotation="255"/>
    </xf>
    <xf numFmtId="0" fontId="11" fillId="0" borderId="6" xfId="0" applyFont="1" applyBorder="1"/>
    <xf numFmtId="0" fontId="11" fillId="0" borderId="11" xfId="0" applyFont="1" applyBorder="1"/>
    <xf numFmtId="0" fontId="9" fillId="7" borderId="2" xfId="0" applyFont="1" applyFill="1" applyBorder="1" applyAlignment="1">
      <alignment horizontal="center" vertical="center" textRotation="255"/>
    </xf>
    <xf numFmtId="0" fontId="6" fillId="7" borderId="3" xfId="0" applyFont="1" applyFill="1" applyBorder="1" applyAlignment="1">
      <alignment horizontal="center" vertical="center" textRotation="255"/>
    </xf>
    <xf numFmtId="0" fontId="5" fillId="0" borderId="9" xfId="0" applyFont="1" applyBorder="1"/>
    <xf numFmtId="0" fontId="5" fillId="0" borderId="7" xfId="0" applyFont="1" applyBorder="1"/>
    <xf numFmtId="0" fontId="1" fillId="7" borderId="13" xfId="0" applyFont="1" applyFill="1" applyBorder="1"/>
    <xf numFmtId="0" fontId="1" fillId="7" borderId="15" xfId="0" applyFont="1" applyFill="1" applyBorder="1"/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9" fillId="4" borderId="13" xfId="0" applyFont="1" applyFill="1" applyBorder="1" applyAlignment="1">
      <alignment vertical="top"/>
    </xf>
    <xf numFmtId="0" fontId="19" fillId="4" borderId="15" xfId="0" applyFont="1" applyFill="1" applyBorder="1" applyAlignment="1">
      <alignment vertical="top"/>
    </xf>
  </cellXfs>
  <cellStyles count="1">
    <cellStyle name="Normal" xfId="0" builtinId="0"/>
  </cellStyles>
  <dxfs count="95"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7">
    <tableStyle name="Lists-style" pivot="0" count="3" xr9:uid="{00000000-0011-0000-FFFF-FFFF00000000}">
      <tableStyleElement type="headerRow" dxfId="94"/>
      <tableStyleElement type="firstRowStripe" dxfId="93"/>
      <tableStyleElement type="secondRowStripe" dxfId="92"/>
    </tableStyle>
    <tableStyle name="Lists-style 2" pivot="0" count="3" xr9:uid="{00000000-0011-0000-FFFF-FFFF01000000}">
      <tableStyleElement type="headerRow" dxfId="91"/>
      <tableStyleElement type="firstRowStripe" dxfId="90"/>
      <tableStyleElement type="secondRowStripe" dxfId="89"/>
    </tableStyle>
    <tableStyle name="Lists-style 3" pivot="0" count="3" xr9:uid="{00000000-0011-0000-FFFF-FFFF02000000}">
      <tableStyleElement type="headerRow" dxfId="88"/>
      <tableStyleElement type="firstRowStripe" dxfId="87"/>
      <tableStyleElement type="secondRowStripe" dxfId="86"/>
    </tableStyle>
    <tableStyle name="Lists-style 4" pivot="0" count="3" xr9:uid="{00000000-0011-0000-FFFF-FFFF03000000}">
      <tableStyleElement type="headerRow" dxfId="85"/>
      <tableStyleElement type="firstRowStripe" dxfId="84"/>
      <tableStyleElement type="secondRowStripe" dxfId="83"/>
    </tableStyle>
    <tableStyle name="Lists-style 5" pivot="0" count="3" xr9:uid="{00000000-0011-0000-FFFF-FFFF04000000}">
      <tableStyleElement type="headerRow" dxfId="82"/>
      <tableStyleElement type="firstRowStripe" dxfId="81"/>
      <tableStyleElement type="secondRowStripe" dxfId="80"/>
    </tableStyle>
    <tableStyle name="Lists-style 6" pivot="0" count="3" xr9:uid="{00000000-0011-0000-FFFF-FFFF05000000}">
      <tableStyleElement type="headerRow" dxfId="79"/>
      <tableStyleElement type="firstRowStripe" dxfId="78"/>
      <tableStyleElement type="secondRowStripe" dxfId="77"/>
    </tableStyle>
    <tableStyle name="Lists-style 7" pivot="0" count="3" xr9:uid="{00000000-0011-0000-FFFF-FFFF06000000}">
      <tableStyleElement type="headerRow" dxfId="76"/>
      <tableStyleElement type="firstRowStripe" dxfId="75"/>
      <tableStyleElement type="secondRowStripe" dxfId="74"/>
    </tableStyle>
  </tableStyles>
  <colors>
    <mruColors>
      <color rgb="FFD9D2E9"/>
      <color rgb="FFE3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microsoft.com/office/2022/10/relationships/richValueRel" Target="richData/richValueRel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7">
  <tableColumns count="1">
    <tableColumn id="1" xr3:uid="{00000000-0010-0000-0000-000001000000}" name="Sources"/>
  </tableColumns>
  <tableStyleInfo name="Li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9:A13">
  <tableColumns count="1">
    <tableColumn id="1" xr3:uid="{00000000-0010-0000-0100-000001000000}" name="Categories"/>
  </tableColumns>
  <tableStyleInfo name="Li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5:A18">
  <tableColumns count="1">
    <tableColumn id="1" xr3:uid="{00000000-0010-0000-0200-000001000000}" name="Versions"/>
  </tableColumns>
  <tableStyleInfo name="Li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0:A25">
  <tableColumns count="1">
    <tableColumn id="1" xr3:uid="{00000000-0010-0000-0300-000001000000}" name="STT Statuses"/>
  </tableColumns>
  <tableStyleInfo name="Li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7:A31">
  <tableColumns count="1">
    <tableColumn id="1" xr3:uid="{00000000-0010-0000-0400-000001000000}" name="ETL Statuses"/>
  </tableColumns>
  <tableStyleInfo name="Li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:A36">
  <tableColumns count="1">
    <tableColumn id="1" xr3:uid="{00000000-0010-0000-0500-000001000000}" name="Statuses"/>
  </tableColumns>
  <tableStyleInfo name="List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8:C49" headerRowCount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Lists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C86D-A84C-4259-854A-BBEE0DD7340A}">
  <sheetPr>
    <tabColor theme="4" tint="0.59999389629810485"/>
    <outlinePr summaryBelow="0" summaryRight="0"/>
  </sheetPr>
  <dimension ref="A1:R158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28" sqref="G22:G28"/>
    </sheetView>
  </sheetViews>
  <sheetFormatPr defaultColWidth="12.7109375" defaultRowHeight="15" customHeight="1" outlineLevelRow="1" outlineLevelCol="1" x14ac:dyDescent="0.2"/>
  <cols>
    <col min="1" max="1" width="39.140625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11</v>
      </c>
      <c r="E3" s="105"/>
      <c r="F3" s="107" t="s">
        <v>12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62" t="s">
        <v>25</v>
      </c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70" t="s">
        <v>37</v>
      </c>
      <c r="B9" s="34" t="s">
        <v>38</v>
      </c>
      <c r="C9" s="36"/>
      <c r="D9" s="16" t="s">
        <v>39</v>
      </c>
      <c r="E9" s="95" t="s">
        <v>40</v>
      </c>
      <c r="F9" s="96"/>
      <c r="G9" s="17" t="s">
        <v>41</v>
      </c>
      <c r="H9" s="17" t="s">
        <v>37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70" t="s">
        <v>44</v>
      </c>
      <c r="B10" s="34" t="s">
        <v>45</v>
      </c>
      <c r="C10" s="36"/>
      <c r="D10" s="16" t="s">
        <v>46</v>
      </c>
      <c r="E10" s="95" t="s">
        <v>40</v>
      </c>
      <c r="F10" s="96"/>
      <c r="G10" s="17" t="s">
        <v>41</v>
      </c>
      <c r="H10" s="17" t="s">
        <v>44</v>
      </c>
      <c r="I10" s="23"/>
      <c r="J10" s="41"/>
      <c r="K10" s="12"/>
      <c r="L10" s="12"/>
      <c r="M10" s="49"/>
      <c r="N10" s="97"/>
      <c r="O10" s="98"/>
      <c r="P10" s="13"/>
      <c r="Q10" s="14"/>
      <c r="R10" s="14"/>
    </row>
    <row r="11" spans="1:18" ht="15.75" customHeight="1" outlineLevel="1" x14ac:dyDescent="0.25">
      <c r="A11" s="70" t="s">
        <v>47</v>
      </c>
      <c r="B11" s="34" t="s">
        <v>38</v>
      </c>
      <c r="C11" s="36"/>
      <c r="D11" s="16" t="s">
        <v>48</v>
      </c>
      <c r="E11" s="95" t="s">
        <v>40</v>
      </c>
      <c r="F11" s="96"/>
      <c r="G11" s="17" t="s">
        <v>41</v>
      </c>
      <c r="H11" s="17" t="s">
        <v>47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70" t="s">
        <v>49</v>
      </c>
      <c r="B12" s="34" t="s">
        <v>50</v>
      </c>
      <c r="C12" s="36"/>
      <c r="D12" s="16" t="s">
        <v>51</v>
      </c>
      <c r="E12" s="95" t="s">
        <v>40</v>
      </c>
      <c r="F12" s="96"/>
      <c r="G12" s="17" t="s">
        <v>41</v>
      </c>
      <c r="H12" s="17" t="s">
        <v>49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 x14ac:dyDescent="0.25">
      <c r="A13" s="70" t="s">
        <v>52</v>
      </c>
      <c r="B13" s="34" t="s">
        <v>38</v>
      </c>
      <c r="C13" s="36"/>
      <c r="D13" s="34" t="s">
        <v>53</v>
      </c>
      <c r="E13" s="95" t="s">
        <v>40</v>
      </c>
      <c r="F13" s="96"/>
      <c r="G13" s="17" t="s">
        <v>41</v>
      </c>
      <c r="H13" s="22" t="s">
        <v>54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70" t="s">
        <v>55</v>
      </c>
      <c r="B14" s="34" t="s">
        <v>38</v>
      </c>
      <c r="C14" s="36"/>
      <c r="D14" s="16" t="s">
        <v>56</v>
      </c>
      <c r="E14" s="95" t="s">
        <v>40</v>
      </c>
      <c r="F14" s="96"/>
      <c r="G14" s="17" t="s">
        <v>41</v>
      </c>
      <c r="H14" s="17" t="s">
        <v>57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70" t="s">
        <v>58</v>
      </c>
      <c r="B15" s="34" t="s">
        <v>38</v>
      </c>
      <c r="C15" s="36"/>
      <c r="D15" s="16" t="s">
        <v>59</v>
      </c>
      <c r="E15" s="95" t="s">
        <v>40</v>
      </c>
      <c r="F15" s="96"/>
      <c r="G15" s="17" t="s">
        <v>60</v>
      </c>
      <c r="H15" s="17" t="s">
        <v>58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70" t="s">
        <v>61</v>
      </c>
      <c r="B16" s="34" t="s">
        <v>38</v>
      </c>
      <c r="C16" s="36"/>
      <c r="D16" s="16" t="s">
        <v>62</v>
      </c>
      <c r="E16" s="95" t="s">
        <v>40</v>
      </c>
      <c r="F16" s="96"/>
      <c r="G16" s="17" t="s">
        <v>60</v>
      </c>
      <c r="H16" s="23" t="s">
        <v>61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 x14ac:dyDescent="0.25">
      <c r="A17" s="70" t="s">
        <v>63</v>
      </c>
      <c r="B17" s="55" t="s">
        <v>50</v>
      </c>
      <c r="C17" s="36"/>
      <c r="D17" s="16" t="s">
        <v>64</v>
      </c>
      <c r="E17" s="95" t="s">
        <v>40</v>
      </c>
      <c r="F17" s="96"/>
      <c r="G17" s="17" t="s">
        <v>41</v>
      </c>
      <c r="H17" s="17" t="s">
        <v>63</v>
      </c>
      <c r="I17" s="23"/>
      <c r="J17" s="41"/>
      <c r="K17" s="12"/>
      <c r="L17" s="12"/>
      <c r="M17" s="49"/>
      <c r="N17" s="42"/>
      <c r="O17" s="43"/>
      <c r="P17" s="13"/>
      <c r="Q17" s="14"/>
      <c r="R17" s="14"/>
    </row>
    <row r="18" spans="1:18" ht="15.75" customHeight="1" outlineLevel="1" x14ac:dyDescent="0.25">
      <c r="A18" s="70" t="s">
        <v>65</v>
      </c>
      <c r="B18" s="34" t="s">
        <v>38</v>
      </c>
      <c r="C18" s="36"/>
      <c r="D18" s="16" t="s">
        <v>66</v>
      </c>
      <c r="E18" s="95" t="s">
        <v>40</v>
      </c>
      <c r="F18" s="96"/>
      <c r="G18" s="17" t="s">
        <v>41</v>
      </c>
      <c r="H18" s="17" t="s">
        <v>65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 x14ac:dyDescent="0.25">
      <c r="A19" s="70" t="s">
        <v>67</v>
      </c>
      <c r="B19" s="55" t="s">
        <v>50</v>
      </c>
      <c r="C19" s="36"/>
      <c r="D19" s="16" t="s">
        <v>68</v>
      </c>
      <c r="E19" s="95" t="s">
        <v>40</v>
      </c>
      <c r="F19" s="96"/>
      <c r="G19" s="17" t="s">
        <v>41</v>
      </c>
      <c r="H19" s="17" t="s">
        <v>67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 x14ac:dyDescent="0.25">
      <c r="A20" s="70" t="s">
        <v>69</v>
      </c>
      <c r="B20" s="34" t="s">
        <v>38</v>
      </c>
      <c r="C20" s="36"/>
      <c r="D20" s="34" t="s">
        <v>70</v>
      </c>
      <c r="E20" s="95" t="s">
        <v>40</v>
      </c>
      <c r="F20" s="96"/>
      <c r="G20" s="17" t="s">
        <v>41</v>
      </c>
      <c r="H20" s="17" t="s">
        <v>69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70" t="s">
        <v>71</v>
      </c>
      <c r="B21" s="34" t="s">
        <v>72</v>
      </c>
      <c r="C21" s="36"/>
      <c r="D21" s="34" t="s">
        <v>73</v>
      </c>
      <c r="E21" s="95" t="s">
        <v>40</v>
      </c>
      <c r="F21" s="96"/>
      <c r="G21" s="17" t="s">
        <v>74</v>
      </c>
      <c r="H21" s="17" t="s">
        <v>75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 x14ac:dyDescent="0.25">
      <c r="A22" s="70" t="s">
        <v>76</v>
      </c>
      <c r="B22" s="34" t="s">
        <v>38</v>
      </c>
      <c r="C22" s="36"/>
      <c r="D22" s="34" t="s">
        <v>77</v>
      </c>
      <c r="E22" s="95" t="s">
        <v>40</v>
      </c>
      <c r="F22" s="96"/>
      <c r="G22" s="17" t="s">
        <v>74</v>
      </c>
      <c r="H22" s="17" t="s">
        <v>76</v>
      </c>
      <c r="I22" s="23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 x14ac:dyDescent="0.25">
      <c r="A23" s="70" t="s">
        <v>78</v>
      </c>
      <c r="B23" s="34" t="s">
        <v>38</v>
      </c>
      <c r="C23" s="36" t="e" vm="1">
        <v>#VALUE!</v>
      </c>
      <c r="D23" s="16" t="s">
        <v>79</v>
      </c>
      <c r="E23" s="95" t="s">
        <v>40</v>
      </c>
      <c r="F23" s="96"/>
      <c r="G23" s="17" t="s">
        <v>74</v>
      </c>
      <c r="H23" s="17" t="s">
        <v>78</v>
      </c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 x14ac:dyDescent="0.25">
      <c r="A24" s="70" t="s">
        <v>80</v>
      </c>
      <c r="B24" s="34" t="s">
        <v>38</v>
      </c>
      <c r="C24" s="36"/>
      <c r="D24" s="34" t="s">
        <v>81</v>
      </c>
      <c r="E24" s="95" t="s">
        <v>40</v>
      </c>
      <c r="F24" s="96"/>
      <c r="G24" s="17" t="s">
        <v>74</v>
      </c>
      <c r="H24" s="22" t="s">
        <v>80</v>
      </c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 x14ac:dyDescent="0.25">
      <c r="A25" s="70" t="s">
        <v>82</v>
      </c>
      <c r="B25" s="34" t="s">
        <v>50</v>
      </c>
      <c r="C25" s="36"/>
      <c r="D25" s="34" t="s">
        <v>83</v>
      </c>
      <c r="E25" s="95" t="s">
        <v>40</v>
      </c>
      <c r="F25" s="96"/>
      <c r="G25" s="17" t="s">
        <v>74</v>
      </c>
      <c r="H25" s="22" t="s">
        <v>82</v>
      </c>
      <c r="I25" s="23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 x14ac:dyDescent="0.25">
      <c r="A26" s="70" t="s">
        <v>84</v>
      </c>
      <c r="B26" s="34" t="s">
        <v>50</v>
      </c>
      <c r="C26" s="36" t="e" vm="1">
        <v>#VALUE!</v>
      </c>
      <c r="D26" s="34" t="s">
        <v>85</v>
      </c>
      <c r="E26" s="95" t="s">
        <v>40</v>
      </c>
      <c r="F26" s="96"/>
      <c r="G26" s="17" t="s">
        <v>86</v>
      </c>
      <c r="H26" s="23" t="s">
        <v>84</v>
      </c>
      <c r="I26" s="23"/>
      <c r="J26" s="41"/>
      <c r="K26" s="12"/>
      <c r="L26" s="12"/>
      <c r="M26" s="49"/>
      <c r="N26" s="97"/>
      <c r="O26" s="98"/>
      <c r="P26" s="13"/>
      <c r="Q26" s="14"/>
      <c r="R26" s="14"/>
    </row>
    <row r="27" spans="1:18" ht="15.75" customHeight="1" outlineLevel="1" x14ac:dyDescent="0.25">
      <c r="A27" s="70" t="s">
        <v>87</v>
      </c>
      <c r="B27" s="34" t="s">
        <v>38</v>
      </c>
      <c r="C27" s="64"/>
      <c r="D27" s="63" t="s">
        <v>88</v>
      </c>
      <c r="E27" s="95" t="s">
        <v>40</v>
      </c>
      <c r="F27" s="96"/>
      <c r="G27" s="17" t="s">
        <v>86</v>
      </c>
      <c r="H27" s="23" t="s">
        <v>87</v>
      </c>
      <c r="I27" s="23"/>
      <c r="J27" s="41"/>
      <c r="K27" s="12"/>
      <c r="L27" s="12"/>
      <c r="M27" s="49"/>
      <c r="N27" s="42"/>
      <c r="O27" s="43"/>
      <c r="P27" s="13"/>
      <c r="Q27" s="14"/>
      <c r="R27" s="14"/>
    </row>
    <row r="28" spans="1:18" ht="15.75" customHeight="1" outlineLevel="1" x14ac:dyDescent="0.25">
      <c r="A28" s="70" t="s">
        <v>89</v>
      </c>
      <c r="B28" s="34" t="s">
        <v>50</v>
      </c>
      <c r="C28" s="36"/>
      <c r="D28" s="65" t="s">
        <v>90</v>
      </c>
      <c r="E28" s="95" t="s">
        <v>40</v>
      </c>
      <c r="F28" s="96"/>
      <c r="G28" s="17" t="s">
        <v>91</v>
      </c>
      <c r="H28" s="23" t="s">
        <v>89</v>
      </c>
      <c r="I28" s="23"/>
      <c r="J28" s="41"/>
      <c r="K28" s="12"/>
      <c r="L28" s="12"/>
      <c r="M28" s="49"/>
      <c r="N28" s="42"/>
      <c r="O28" s="43"/>
      <c r="P28" s="13"/>
      <c r="Q28" s="14"/>
      <c r="R28" s="14"/>
    </row>
    <row r="29" spans="1:18" ht="15.75" customHeight="1" outlineLevel="1" x14ac:dyDescent="0.25">
      <c r="A29" s="70" t="s">
        <v>92</v>
      </c>
      <c r="B29" s="63" t="s">
        <v>38</v>
      </c>
      <c r="C29" s="57"/>
      <c r="D29" s="67" t="s">
        <v>93</v>
      </c>
      <c r="E29" s="95" t="s">
        <v>40</v>
      </c>
      <c r="F29" s="96"/>
      <c r="G29" s="17" t="s">
        <v>91</v>
      </c>
      <c r="H29" s="60" t="s">
        <v>92</v>
      </c>
      <c r="I29" s="23"/>
      <c r="J29" s="41"/>
      <c r="K29" s="12"/>
      <c r="L29" s="12"/>
      <c r="M29" s="49"/>
      <c r="N29" s="97"/>
      <c r="O29" s="98"/>
      <c r="P29" s="13"/>
      <c r="Q29" s="14"/>
      <c r="R29" s="14"/>
    </row>
    <row r="30" spans="1:18" ht="15.75" customHeight="1" outlineLevel="1" x14ac:dyDescent="0.25">
      <c r="A30" s="37"/>
      <c r="B30" s="34"/>
      <c r="C30" s="36"/>
      <c r="D30" s="34"/>
      <c r="E30" s="95"/>
      <c r="F30" s="96"/>
      <c r="G30" s="17"/>
      <c r="H30" s="22"/>
      <c r="I30" s="23"/>
      <c r="J30" s="41"/>
      <c r="K30" s="12"/>
      <c r="L30" s="12"/>
      <c r="M30" s="45"/>
      <c r="N30" s="97"/>
      <c r="O30" s="98"/>
      <c r="P30" s="13"/>
      <c r="Q30" s="14"/>
      <c r="R30" s="14"/>
    </row>
    <row r="31" spans="1:18" ht="15.75" customHeight="1" outlineLevel="1" x14ac:dyDescent="0.25">
      <c r="A31" s="38" t="s">
        <v>94</v>
      </c>
      <c r="B31" s="39"/>
      <c r="C31" s="40"/>
      <c r="D31" s="9"/>
      <c r="E31" s="95"/>
      <c r="F31" s="96"/>
      <c r="G31" s="17"/>
      <c r="H31" s="25"/>
      <c r="I31" s="24"/>
      <c r="J31" s="51"/>
      <c r="K31" s="3"/>
      <c r="L31" s="3"/>
      <c r="M31" s="49"/>
      <c r="N31" s="139"/>
      <c r="O31" s="140"/>
      <c r="P31" s="4"/>
      <c r="Q31" s="14"/>
      <c r="R31" s="14"/>
    </row>
    <row r="32" spans="1:18" ht="15.75" customHeight="1" x14ac:dyDescent="0.2">
      <c r="E32" s="141"/>
      <c r="F32" s="103"/>
      <c r="G32" s="142"/>
      <c r="H32" s="119"/>
      <c r="I32" s="26"/>
      <c r="N32" s="122"/>
      <c r="O32" s="122"/>
    </row>
    <row r="33" spans="5:18" ht="15.75" customHeight="1" x14ac:dyDescent="0.2"/>
    <row r="34" spans="5:18" ht="15.75" customHeight="1" x14ac:dyDescent="0.2"/>
    <row r="35" spans="5:18" ht="15.75" customHeight="1" x14ac:dyDescent="0.2"/>
    <row r="36" spans="5:18" ht="15.75" customHeight="1" x14ac:dyDescent="0.2"/>
    <row r="37" spans="5:18" ht="15.75" customHeight="1" x14ac:dyDescent="0.2"/>
    <row r="38" spans="5:18" ht="15.75" customHeight="1" x14ac:dyDescent="0.2"/>
    <row r="39" spans="5:18" ht="15.75" customHeight="1" x14ac:dyDescent="0.2"/>
    <row r="40" spans="5:18" ht="15.75" customHeight="1" x14ac:dyDescent="0.2"/>
    <row r="41" spans="5:18" ht="15.75" customHeight="1" x14ac:dyDescent="0.2"/>
    <row r="42" spans="5:18" ht="15.75" customHeight="1" x14ac:dyDescent="0.2"/>
    <row r="43" spans="5:18" ht="15.75" customHeight="1" x14ac:dyDescent="0.2"/>
    <row r="44" spans="5:18" s="18" customFormat="1" ht="15.75" customHeight="1" x14ac:dyDescent="0.2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 x14ac:dyDescent="0.2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 x14ac:dyDescent="0.2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 x14ac:dyDescent="0.2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 x14ac:dyDescent="0.2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 x14ac:dyDescent="0.2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 x14ac:dyDescent="0.2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 x14ac:dyDescent="0.2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 x14ac:dyDescent="0.2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 x14ac:dyDescent="0.2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 x14ac:dyDescent="0.2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 x14ac:dyDescent="0.2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 x14ac:dyDescent="0.2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 x14ac:dyDescent="0.2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 x14ac:dyDescent="0.2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 x14ac:dyDescent="0.2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 x14ac:dyDescent="0.2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 x14ac:dyDescent="0.2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 x14ac:dyDescent="0.2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 x14ac:dyDescent="0.2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 x14ac:dyDescent="0.2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 x14ac:dyDescent="0.2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 x14ac:dyDescent="0.2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 x14ac:dyDescent="0.2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 x14ac:dyDescent="0.2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 x14ac:dyDescent="0.2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 x14ac:dyDescent="0.2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 x14ac:dyDescent="0.2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 x14ac:dyDescent="0.2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 x14ac:dyDescent="0.2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 x14ac:dyDescent="0.2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 x14ac:dyDescent="0.2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 x14ac:dyDescent="0.2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 x14ac:dyDescent="0.2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 x14ac:dyDescent="0.2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 x14ac:dyDescent="0.2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 x14ac:dyDescent="0.2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 x14ac:dyDescent="0.2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 x14ac:dyDescent="0.2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 x14ac:dyDescent="0.2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 x14ac:dyDescent="0.2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 x14ac:dyDescent="0.2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 x14ac:dyDescent="0.2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 x14ac:dyDescent="0.2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 x14ac:dyDescent="0.2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 x14ac:dyDescent="0.2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 x14ac:dyDescent="0.2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 x14ac:dyDescent="0.2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 x14ac:dyDescent="0.2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 x14ac:dyDescent="0.2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 x14ac:dyDescent="0.2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 x14ac:dyDescent="0.2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 x14ac:dyDescent="0.2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 x14ac:dyDescent="0.2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 x14ac:dyDescent="0.2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 x14ac:dyDescent="0.2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 x14ac:dyDescent="0.2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 x14ac:dyDescent="0.2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 x14ac:dyDescent="0.2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 x14ac:dyDescent="0.2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 x14ac:dyDescent="0.2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 x14ac:dyDescent="0.2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 x14ac:dyDescent="0.2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 x14ac:dyDescent="0.2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 x14ac:dyDescent="0.2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 x14ac:dyDescent="0.2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 x14ac:dyDescent="0.2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 x14ac:dyDescent="0.2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 x14ac:dyDescent="0.2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 x14ac:dyDescent="0.2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 x14ac:dyDescent="0.2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 x14ac:dyDescent="0.2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 x14ac:dyDescent="0.2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 x14ac:dyDescent="0.2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 x14ac:dyDescent="0.2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 x14ac:dyDescent="0.2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 x14ac:dyDescent="0.2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 x14ac:dyDescent="0.2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 x14ac:dyDescent="0.2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 x14ac:dyDescent="0.2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 x14ac:dyDescent="0.2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 x14ac:dyDescent="0.2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 x14ac:dyDescent="0.2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 x14ac:dyDescent="0.2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 x14ac:dyDescent="0.2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 x14ac:dyDescent="0.2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 x14ac:dyDescent="0.2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 x14ac:dyDescent="0.2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 x14ac:dyDescent="0.2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 x14ac:dyDescent="0.2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 x14ac:dyDescent="0.2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 x14ac:dyDescent="0.2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 x14ac:dyDescent="0.2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 x14ac:dyDescent="0.2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 x14ac:dyDescent="0.2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 x14ac:dyDescent="0.2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 x14ac:dyDescent="0.2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 x14ac:dyDescent="0.2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 x14ac:dyDescent="0.2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 x14ac:dyDescent="0.2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 x14ac:dyDescent="0.2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 x14ac:dyDescent="0.2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 x14ac:dyDescent="0.2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 x14ac:dyDescent="0.2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 x14ac:dyDescent="0.2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 x14ac:dyDescent="0.2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 x14ac:dyDescent="0.2">
      <c r="E150" s="21"/>
      <c r="F150" s="44"/>
      <c r="G150" s="27"/>
      <c r="J150"/>
      <c r="K150"/>
      <c r="L150"/>
      <c r="M150"/>
      <c r="N150"/>
      <c r="O150"/>
      <c r="P150"/>
      <c r="Q150"/>
      <c r="R150"/>
    </row>
    <row r="151" spans="5:18" s="18" customFormat="1" ht="15.75" customHeight="1" x14ac:dyDescent="0.2">
      <c r="E151" s="21"/>
      <c r="F151" s="44"/>
      <c r="G151" s="27"/>
      <c r="J151"/>
      <c r="K151"/>
      <c r="L151"/>
      <c r="M151"/>
      <c r="N151"/>
      <c r="O151"/>
      <c r="P151"/>
      <c r="Q151"/>
      <c r="R151"/>
    </row>
    <row r="152" spans="5:18" s="18" customFormat="1" ht="15.75" customHeight="1" x14ac:dyDescent="0.2">
      <c r="E152" s="21"/>
      <c r="F152" s="44"/>
      <c r="G152" s="27"/>
      <c r="J152"/>
      <c r="K152"/>
      <c r="L152"/>
      <c r="M152"/>
      <c r="N152"/>
      <c r="O152"/>
      <c r="P152"/>
      <c r="Q152"/>
      <c r="R152"/>
    </row>
    <row r="153" spans="5:18" s="18" customFormat="1" ht="15.75" customHeight="1" x14ac:dyDescent="0.2">
      <c r="E153" s="21"/>
      <c r="F153" s="44"/>
      <c r="G153" s="27"/>
      <c r="J153"/>
      <c r="K153"/>
      <c r="L153"/>
      <c r="M153"/>
      <c r="N153"/>
      <c r="O153"/>
      <c r="P153"/>
      <c r="Q153"/>
      <c r="R153"/>
    </row>
    <row r="154" spans="5:18" s="18" customFormat="1" ht="15.75" customHeight="1" x14ac:dyDescent="0.2">
      <c r="E154" s="21"/>
      <c r="F154" s="44"/>
      <c r="G154" s="27"/>
      <c r="J154"/>
      <c r="K154"/>
      <c r="L154"/>
      <c r="M154"/>
      <c r="N154"/>
      <c r="O154"/>
      <c r="P154"/>
      <c r="Q154"/>
      <c r="R154"/>
    </row>
    <row r="155" spans="5:18" s="18" customFormat="1" ht="15.75" customHeight="1" x14ac:dyDescent="0.2">
      <c r="E155" s="21"/>
      <c r="F155" s="44"/>
      <c r="G155" s="27"/>
      <c r="J155"/>
      <c r="K155"/>
      <c r="L155"/>
      <c r="M155"/>
      <c r="N155"/>
      <c r="O155"/>
      <c r="P155"/>
      <c r="Q155"/>
      <c r="R155"/>
    </row>
    <row r="156" spans="5:18" s="18" customFormat="1" ht="15.75" customHeight="1" x14ac:dyDescent="0.2">
      <c r="E156" s="21"/>
      <c r="F156" s="44"/>
      <c r="G156" s="27"/>
      <c r="J156"/>
      <c r="K156"/>
      <c r="L156"/>
      <c r="M156"/>
      <c r="N156"/>
      <c r="O156"/>
      <c r="P156"/>
      <c r="Q156"/>
      <c r="R156"/>
    </row>
    <row r="157" spans="5:18" s="18" customFormat="1" ht="15.75" customHeight="1" x14ac:dyDescent="0.2">
      <c r="E157" s="21"/>
      <c r="F157" s="44"/>
      <c r="G157" s="27"/>
      <c r="J157"/>
      <c r="K157"/>
      <c r="L157"/>
      <c r="M157"/>
      <c r="N157"/>
      <c r="O157"/>
      <c r="P157"/>
      <c r="Q157"/>
      <c r="R157"/>
    </row>
    <row r="158" spans="5:18" s="18" customFormat="1" ht="15.75" customHeight="1" x14ac:dyDescent="0.2">
      <c r="E158" s="21"/>
      <c r="F158" s="44"/>
      <c r="G158" s="27"/>
      <c r="J158"/>
      <c r="K158"/>
      <c r="L158"/>
      <c r="M158"/>
      <c r="N158"/>
      <c r="O158"/>
      <c r="P158"/>
      <c r="Q158"/>
      <c r="R158"/>
    </row>
  </sheetData>
  <autoFilter ref="A8:P31" xr:uid="{00000000-0009-0000-0000-000000000000}"/>
  <mergeCells count="56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E11:F11"/>
    <mergeCell ref="N11:O11"/>
    <mergeCell ref="E12:F12"/>
    <mergeCell ref="E13:F13"/>
    <mergeCell ref="E14:F14"/>
    <mergeCell ref="N26:O26"/>
    <mergeCell ref="E15:F15"/>
    <mergeCell ref="E17:F17"/>
    <mergeCell ref="E18:F18"/>
    <mergeCell ref="E19:F19"/>
    <mergeCell ref="E20:F20"/>
    <mergeCell ref="E21:F21"/>
    <mergeCell ref="E16:F16"/>
    <mergeCell ref="E22:F22"/>
    <mergeCell ref="E23:F23"/>
    <mergeCell ref="E24:F24"/>
    <mergeCell ref="E25:F25"/>
    <mergeCell ref="E26:F26"/>
    <mergeCell ref="E27:F27"/>
    <mergeCell ref="E28:F28"/>
    <mergeCell ref="E29:F29"/>
    <mergeCell ref="N29:O29"/>
    <mergeCell ref="E30:F30"/>
    <mergeCell ref="N30:O30"/>
    <mergeCell ref="E31:F31"/>
    <mergeCell ref="N31:O31"/>
    <mergeCell ref="E32:F32"/>
    <mergeCell ref="G32:H32"/>
    <mergeCell ref="N32:O32"/>
  </mergeCells>
  <conditionalFormatting sqref="A30:A31">
    <cfRule type="expression" dxfId="73" priority="3">
      <formula>M30 = "On Hold"</formula>
    </cfRule>
  </conditionalFormatting>
  <conditionalFormatting sqref="B2:B5 J9:P31">
    <cfRule type="cellIs" dxfId="72" priority="1" operator="equal">
      <formula>"Done"</formula>
    </cfRule>
    <cfRule type="cellIs" dxfId="71" priority="2" operator="equal">
      <formula>"On Hold"</formula>
    </cfRule>
    <cfRule type="cellIs" dxfId="70" priority="4" operator="equal">
      <formula>"Ready for Review"</formula>
    </cfRule>
    <cfRule type="cellIs" dxfId="69" priority="5" operator="equal">
      <formula>"In Review"</formula>
    </cfRule>
  </conditionalFormatting>
  <dataValidations count="7">
    <dataValidation type="list" allowBlank="1" showErrorMessage="1" sqref="B2" xr:uid="{85C71DE2-5147-4CAF-A81D-DB074D953E49}">
      <formula1>STT_Statuses</formula1>
    </dataValidation>
    <dataValidation type="list" allowBlank="1" sqref="B4:B5" xr:uid="{E06D6657-99FB-4CC1-82B4-74052AB5B19E}">
      <formula1>ETL_Statuses</formula1>
    </dataValidation>
    <dataValidation type="list" allowBlank="1" sqref="B3 M9:M31" xr:uid="{30BF3A72-35CA-4AD1-8CDB-D3C63E1B4388}">
      <formula1>Statuses</formula1>
    </dataValidation>
    <dataValidation type="list" allowBlank="1" sqref="B18 B20:B24 B26:B31 B9:B16" xr:uid="{6674001A-2FB5-4E1E-A368-2950CD8522CC}">
      <formula1>Data_Types</formula1>
    </dataValidation>
    <dataValidation type="list" allowBlank="1" sqref="N9:N31" xr:uid="{360878F8-FECD-4BF3-B43E-0088F0D6D678}">
      <formula1>Categories</formula1>
    </dataValidation>
    <dataValidation type="list" allowBlank="1" sqref="P9:P31" xr:uid="{38DE8329-DB01-440A-B52C-1D4773BBD515}">
      <formula1>Versions</formula1>
    </dataValidation>
    <dataValidation type="list" allowBlank="1" sqref="E9:E31" xr:uid="{7C4F00F2-22DE-4B3A-971A-51AEC2443053}">
      <formula1>Sources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8B2-F53C-4443-9124-00F57D5E5E52}">
  <sheetPr>
    <tabColor theme="4" tint="0.59999389629810485"/>
    <outlinePr summaryBelow="0" summaryRight="0"/>
  </sheetPr>
  <dimension ref="A1:R150"/>
  <sheetViews>
    <sheetView zoomScale="90" zoomScaleNormal="90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G38" sqref="G38"/>
    </sheetView>
  </sheetViews>
  <sheetFormatPr defaultColWidth="12.7109375" defaultRowHeight="15" customHeight="1" outlineLevelRow="1" outlineLevelCol="1" x14ac:dyDescent="0.2"/>
  <cols>
    <col min="1" max="1" width="39.140625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95</v>
      </c>
      <c r="E3" s="105"/>
      <c r="F3" s="107" t="s">
        <v>96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62" t="s">
        <v>97</v>
      </c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x14ac:dyDescent="0.25">
      <c r="A9" s="70" t="s">
        <v>98</v>
      </c>
      <c r="B9" s="68" t="s">
        <v>38</v>
      </c>
      <c r="C9" s="36" t="e" vm="1">
        <v>#VALUE!</v>
      </c>
      <c r="D9" s="67" t="s">
        <v>99</v>
      </c>
      <c r="E9" s="95" t="s">
        <v>40</v>
      </c>
      <c r="F9" s="96"/>
      <c r="G9" s="69" t="s">
        <v>100</v>
      </c>
      <c r="H9" s="69" t="s">
        <v>98</v>
      </c>
      <c r="I9" s="23"/>
      <c r="J9" s="50"/>
      <c r="K9" s="12"/>
      <c r="L9" s="12"/>
      <c r="M9" s="52"/>
      <c r="N9" s="42"/>
      <c r="O9" s="50"/>
      <c r="P9" s="13"/>
      <c r="Q9" s="14"/>
      <c r="R9" s="14"/>
    </row>
    <row r="10" spans="1:18" ht="15.75" customHeight="1" outlineLevel="1" x14ac:dyDescent="0.25">
      <c r="A10" s="70" t="s">
        <v>37</v>
      </c>
      <c r="B10" s="34" t="s">
        <v>38</v>
      </c>
      <c r="C10" s="36"/>
      <c r="D10" s="16" t="s">
        <v>39</v>
      </c>
      <c r="E10" s="95" t="s">
        <v>40</v>
      </c>
      <c r="F10" s="96"/>
      <c r="G10" s="17" t="s">
        <v>100</v>
      </c>
      <c r="H10" s="17" t="s">
        <v>37</v>
      </c>
      <c r="I10" s="23"/>
      <c r="J10" s="41"/>
      <c r="K10" s="12"/>
      <c r="L10" s="12"/>
      <c r="M10" s="49"/>
      <c r="N10" s="97" t="s">
        <v>42</v>
      </c>
      <c r="O10" s="98"/>
      <c r="P10" s="13" t="s">
        <v>43</v>
      </c>
      <c r="Q10" s="14"/>
      <c r="R10" s="14"/>
    </row>
    <row r="11" spans="1:18" ht="15.75" customHeight="1" outlineLevel="1" x14ac:dyDescent="0.25">
      <c r="A11" s="70" t="s">
        <v>101</v>
      </c>
      <c r="B11" s="34" t="s">
        <v>45</v>
      </c>
      <c r="C11" s="36"/>
      <c r="D11" s="16" t="s">
        <v>102</v>
      </c>
      <c r="E11" s="95" t="s">
        <v>40</v>
      </c>
      <c r="F11" s="96"/>
      <c r="G11" s="17" t="s">
        <v>100</v>
      </c>
      <c r="H11" s="17" t="s">
        <v>101</v>
      </c>
      <c r="I11" s="23"/>
      <c r="J11" s="41"/>
      <c r="K11" s="12"/>
      <c r="L11" s="12"/>
      <c r="M11" s="49"/>
      <c r="N11" s="42"/>
      <c r="O11" s="43"/>
      <c r="P11" s="13"/>
      <c r="Q11" s="14"/>
      <c r="R11" s="14"/>
    </row>
    <row r="12" spans="1:18" ht="15.75" customHeight="1" outlineLevel="1" x14ac:dyDescent="0.25">
      <c r="A12" s="70" t="s">
        <v>49</v>
      </c>
      <c r="B12" s="34" t="s">
        <v>50</v>
      </c>
      <c r="C12" s="36"/>
      <c r="D12" s="16" t="s">
        <v>51</v>
      </c>
      <c r="E12" s="95" t="s">
        <v>40</v>
      </c>
      <c r="F12" s="96"/>
      <c r="G12" s="17" t="s">
        <v>100</v>
      </c>
      <c r="H12" s="17" t="s">
        <v>49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 x14ac:dyDescent="0.25">
      <c r="A13" s="70" t="s">
        <v>103</v>
      </c>
      <c r="B13" s="34" t="s">
        <v>38</v>
      </c>
      <c r="C13" s="36"/>
      <c r="D13" s="34" t="s">
        <v>104</v>
      </c>
      <c r="E13" s="95" t="s">
        <v>40</v>
      </c>
      <c r="F13" s="96"/>
      <c r="G13" s="17" t="s">
        <v>100</v>
      </c>
      <c r="H13" s="22" t="s">
        <v>105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70" t="s">
        <v>55</v>
      </c>
      <c r="B14" s="34" t="s">
        <v>38</v>
      </c>
      <c r="C14" s="36"/>
      <c r="D14" s="16" t="s">
        <v>56</v>
      </c>
      <c r="E14" s="95" t="s">
        <v>40</v>
      </c>
      <c r="F14" s="96"/>
      <c r="G14" s="17" t="s">
        <v>100</v>
      </c>
      <c r="H14" s="17" t="s">
        <v>106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70" t="s">
        <v>71</v>
      </c>
      <c r="B15" s="34" t="s">
        <v>72</v>
      </c>
      <c r="C15" s="36"/>
      <c r="D15" s="34" t="s">
        <v>107</v>
      </c>
      <c r="E15" s="95" t="s">
        <v>40</v>
      </c>
      <c r="F15" s="96"/>
      <c r="G15" s="17" t="s">
        <v>100</v>
      </c>
      <c r="H15" s="17" t="s">
        <v>108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70" t="s">
        <v>82</v>
      </c>
      <c r="B16" s="34" t="s">
        <v>50</v>
      </c>
      <c r="C16" s="36"/>
      <c r="D16" s="34" t="s">
        <v>83</v>
      </c>
      <c r="E16" s="95" t="s">
        <v>40</v>
      </c>
      <c r="F16" s="96"/>
      <c r="G16" s="17" t="s">
        <v>100</v>
      </c>
      <c r="H16" s="22" t="s">
        <v>82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 x14ac:dyDescent="0.25">
      <c r="A17" s="70" t="s">
        <v>84</v>
      </c>
      <c r="B17" s="34" t="s">
        <v>50</v>
      </c>
      <c r="C17" s="36" t="e" vm="1">
        <v>#VALUE!</v>
      </c>
      <c r="D17" s="34" t="s">
        <v>85</v>
      </c>
      <c r="E17" s="95" t="s">
        <v>40</v>
      </c>
      <c r="F17" s="96"/>
      <c r="G17" s="17" t="s">
        <v>86</v>
      </c>
      <c r="H17" s="23" t="s">
        <v>84</v>
      </c>
      <c r="I17" s="23"/>
      <c r="J17" s="41"/>
      <c r="K17" s="12"/>
      <c r="L17" s="12"/>
      <c r="M17" s="49"/>
      <c r="N17" s="97"/>
      <c r="O17" s="98"/>
      <c r="P17" s="13"/>
      <c r="Q17" s="14"/>
      <c r="R17" s="14"/>
    </row>
    <row r="18" spans="1:18" ht="15.75" customHeight="1" outlineLevel="1" x14ac:dyDescent="0.25">
      <c r="A18" s="70" t="s">
        <v>87</v>
      </c>
      <c r="B18" s="34" t="s">
        <v>38</v>
      </c>
      <c r="C18" s="64"/>
      <c r="D18" s="63" t="s">
        <v>88</v>
      </c>
      <c r="E18" s="95" t="s">
        <v>40</v>
      </c>
      <c r="F18" s="96"/>
      <c r="G18" s="17" t="s">
        <v>86</v>
      </c>
      <c r="H18" s="23" t="s">
        <v>87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s="79" customFormat="1" ht="15.75" customHeight="1" outlineLevel="1" x14ac:dyDescent="0.25">
      <c r="A19" s="81" t="s">
        <v>109</v>
      </c>
      <c r="B19" s="82" t="s">
        <v>38</v>
      </c>
      <c r="C19" s="83"/>
      <c r="D19" s="82" t="s">
        <v>110</v>
      </c>
      <c r="E19" s="143" t="s">
        <v>40</v>
      </c>
      <c r="F19" s="144"/>
      <c r="G19" s="84" t="s">
        <v>100</v>
      </c>
      <c r="H19" s="85" t="s">
        <v>109</v>
      </c>
      <c r="I19" s="71"/>
      <c r="J19" s="72"/>
      <c r="K19" s="73"/>
      <c r="L19" s="73"/>
      <c r="M19" s="74"/>
      <c r="N19" s="75"/>
      <c r="O19" s="76"/>
      <c r="P19" s="77"/>
      <c r="Q19" s="78"/>
      <c r="R19" s="78"/>
    </row>
    <row r="20" spans="1:18" ht="15.75" customHeight="1" outlineLevel="1" x14ac:dyDescent="0.25">
      <c r="A20" s="70" t="s">
        <v>89</v>
      </c>
      <c r="B20" s="34" t="s">
        <v>50</v>
      </c>
      <c r="C20" s="36"/>
      <c r="D20" s="65" t="s">
        <v>90</v>
      </c>
      <c r="E20" s="95" t="s">
        <v>40</v>
      </c>
      <c r="F20" s="96"/>
      <c r="G20" s="17" t="s">
        <v>91</v>
      </c>
      <c r="H20" s="23" t="s">
        <v>89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70" t="s">
        <v>92</v>
      </c>
      <c r="B21" s="63" t="s">
        <v>38</v>
      </c>
      <c r="C21" s="57"/>
      <c r="D21" s="67" t="s">
        <v>93</v>
      </c>
      <c r="E21" s="95" t="s">
        <v>40</v>
      </c>
      <c r="F21" s="96"/>
      <c r="G21" s="17" t="s">
        <v>91</v>
      </c>
      <c r="H21" s="60" t="s">
        <v>92</v>
      </c>
      <c r="I21" s="23"/>
      <c r="J21" s="41"/>
      <c r="K21" s="12"/>
      <c r="L21" s="12"/>
      <c r="M21" s="49"/>
      <c r="N21" s="97"/>
      <c r="O21" s="98"/>
      <c r="P21" s="13"/>
      <c r="Q21" s="14"/>
      <c r="R21" s="14"/>
    </row>
    <row r="22" spans="1:18" ht="15.75" customHeight="1" outlineLevel="1" x14ac:dyDescent="0.25">
      <c r="A22" s="37"/>
      <c r="B22" s="34"/>
      <c r="C22" s="36"/>
      <c r="D22" s="34"/>
      <c r="E22" s="95"/>
      <c r="F22" s="96"/>
      <c r="G22" s="17"/>
      <c r="H22" s="22"/>
      <c r="I22" s="23"/>
      <c r="J22" s="41"/>
      <c r="K22" s="12"/>
      <c r="L22" s="12"/>
      <c r="M22" s="45"/>
      <c r="N22" s="97"/>
      <c r="O22" s="98"/>
      <c r="P22" s="13"/>
      <c r="Q22" s="14"/>
      <c r="R22" s="14"/>
    </row>
    <row r="23" spans="1:18" ht="15.75" customHeight="1" outlineLevel="1" x14ac:dyDescent="0.25">
      <c r="A23" s="38" t="s">
        <v>94</v>
      </c>
      <c r="B23" s="39"/>
      <c r="C23" s="40"/>
      <c r="D23" s="9"/>
      <c r="E23" s="95"/>
      <c r="F23" s="96"/>
      <c r="G23" s="17"/>
      <c r="H23" s="25"/>
      <c r="I23" s="24"/>
      <c r="J23" s="51"/>
      <c r="K23" s="3"/>
      <c r="L23" s="3"/>
      <c r="M23" s="49"/>
      <c r="N23" s="139"/>
      <c r="O23" s="140"/>
      <c r="P23" s="4"/>
      <c r="Q23" s="14"/>
      <c r="R23" s="14"/>
    </row>
    <row r="24" spans="1:18" ht="15.75" customHeight="1" x14ac:dyDescent="0.2">
      <c r="E24" s="141"/>
      <c r="F24" s="103"/>
      <c r="G24" s="142"/>
      <c r="H24" s="119"/>
      <c r="I24" s="26"/>
      <c r="N24" s="122"/>
      <c r="O24" s="122"/>
    </row>
    <row r="25" spans="1:18" ht="15.75" customHeight="1" x14ac:dyDescent="0.2"/>
    <row r="26" spans="1:18" ht="15.75" customHeight="1" x14ac:dyDescent="0.2"/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spans="5:18" ht="15.75" customHeight="1" x14ac:dyDescent="0.2"/>
    <row r="34" spans="5:18" ht="15.75" customHeight="1" x14ac:dyDescent="0.2"/>
    <row r="35" spans="5:18" ht="15.75" customHeight="1" x14ac:dyDescent="0.2"/>
    <row r="36" spans="5:18" s="18" customFormat="1" ht="15.75" customHeight="1" x14ac:dyDescent="0.2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 x14ac:dyDescent="0.2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 x14ac:dyDescent="0.2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 x14ac:dyDescent="0.2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 x14ac:dyDescent="0.2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 x14ac:dyDescent="0.2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 x14ac:dyDescent="0.2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 x14ac:dyDescent="0.2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 x14ac:dyDescent="0.2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 x14ac:dyDescent="0.2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 x14ac:dyDescent="0.2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 x14ac:dyDescent="0.2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 x14ac:dyDescent="0.2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 x14ac:dyDescent="0.2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 x14ac:dyDescent="0.2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 x14ac:dyDescent="0.2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 x14ac:dyDescent="0.2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 x14ac:dyDescent="0.2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 x14ac:dyDescent="0.2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 x14ac:dyDescent="0.2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 x14ac:dyDescent="0.2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 x14ac:dyDescent="0.2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 x14ac:dyDescent="0.2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 x14ac:dyDescent="0.2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 x14ac:dyDescent="0.2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 x14ac:dyDescent="0.2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 x14ac:dyDescent="0.2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 x14ac:dyDescent="0.2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 x14ac:dyDescent="0.2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 x14ac:dyDescent="0.2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 x14ac:dyDescent="0.2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 x14ac:dyDescent="0.2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 x14ac:dyDescent="0.2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 x14ac:dyDescent="0.2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 x14ac:dyDescent="0.2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 x14ac:dyDescent="0.2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 x14ac:dyDescent="0.2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 x14ac:dyDescent="0.2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 x14ac:dyDescent="0.2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 x14ac:dyDescent="0.2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 x14ac:dyDescent="0.2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 x14ac:dyDescent="0.2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 x14ac:dyDescent="0.2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 x14ac:dyDescent="0.2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 x14ac:dyDescent="0.2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 x14ac:dyDescent="0.2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 x14ac:dyDescent="0.2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 x14ac:dyDescent="0.2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 x14ac:dyDescent="0.2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 x14ac:dyDescent="0.2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 x14ac:dyDescent="0.2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 x14ac:dyDescent="0.2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 x14ac:dyDescent="0.2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 x14ac:dyDescent="0.2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 x14ac:dyDescent="0.2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 x14ac:dyDescent="0.2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 x14ac:dyDescent="0.2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 x14ac:dyDescent="0.2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 x14ac:dyDescent="0.2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 x14ac:dyDescent="0.2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 x14ac:dyDescent="0.2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 x14ac:dyDescent="0.2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 x14ac:dyDescent="0.2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 x14ac:dyDescent="0.2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 x14ac:dyDescent="0.2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 x14ac:dyDescent="0.2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 x14ac:dyDescent="0.2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 x14ac:dyDescent="0.2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 x14ac:dyDescent="0.2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 x14ac:dyDescent="0.2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 x14ac:dyDescent="0.2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 x14ac:dyDescent="0.2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 x14ac:dyDescent="0.2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 x14ac:dyDescent="0.2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 x14ac:dyDescent="0.2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 x14ac:dyDescent="0.2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 x14ac:dyDescent="0.2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 x14ac:dyDescent="0.2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 x14ac:dyDescent="0.2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 x14ac:dyDescent="0.2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 x14ac:dyDescent="0.2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 x14ac:dyDescent="0.2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 x14ac:dyDescent="0.2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 x14ac:dyDescent="0.2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 x14ac:dyDescent="0.2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 x14ac:dyDescent="0.2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 x14ac:dyDescent="0.2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 x14ac:dyDescent="0.2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 x14ac:dyDescent="0.2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 x14ac:dyDescent="0.2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 x14ac:dyDescent="0.2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 x14ac:dyDescent="0.2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 x14ac:dyDescent="0.2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 x14ac:dyDescent="0.2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 x14ac:dyDescent="0.2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 x14ac:dyDescent="0.2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 x14ac:dyDescent="0.2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 x14ac:dyDescent="0.2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 x14ac:dyDescent="0.2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 x14ac:dyDescent="0.2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 x14ac:dyDescent="0.2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 x14ac:dyDescent="0.2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 x14ac:dyDescent="0.2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 x14ac:dyDescent="0.2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 x14ac:dyDescent="0.2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 x14ac:dyDescent="0.2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 x14ac:dyDescent="0.2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 x14ac:dyDescent="0.2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 x14ac:dyDescent="0.2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 x14ac:dyDescent="0.2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 x14ac:dyDescent="0.2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 x14ac:dyDescent="0.2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 x14ac:dyDescent="0.2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 x14ac:dyDescent="0.2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 x14ac:dyDescent="0.2">
      <c r="E150" s="21"/>
      <c r="F150" s="44"/>
      <c r="G150" s="27"/>
      <c r="J150"/>
      <c r="K150"/>
      <c r="L150"/>
      <c r="M150"/>
      <c r="N150"/>
      <c r="O150"/>
      <c r="P150"/>
      <c r="Q150"/>
      <c r="R150"/>
    </row>
  </sheetData>
  <autoFilter ref="A8:P23" xr:uid="{00000000-0009-0000-0000-000000000000}"/>
  <mergeCells count="46">
    <mergeCell ref="E9:F9"/>
    <mergeCell ref="E11:F11"/>
    <mergeCell ref="E24:F24"/>
    <mergeCell ref="G24:H24"/>
    <mergeCell ref="E12:F12"/>
    <mergeCell ref="E13:F13"/>
    <mergeCell ref="E14:F14"/>
    <mergeCell ref="E10:F10"/>
    <mergeCell ref="N10:O10"/>
    <mergeCell ref="N24:O24"/>
    <mergeCell ref="E15:F15"/>
    <mergeCell ref="E20:F20"/>
    <mergeCell ref="E21:F21"/>
    <mergeCell ref="N21:O21"/>
    <mergeCell ref="E22:F22"/>
    <mergeCell ref="N22:O22"/>
    <mergeCell ref="E23:F23"/>
    <mergeCell ref="N23:O23"/>
    <mergeCell ref="E16:F16"/>
    <mergeCell ref="E17:F17"/>
    <mergeCell ref="N17:O17"/>
    <mergeCell ref="E18:F18"/>
    <mergeCell ref="E19:F19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22:A23">
    <cfRule type="expression" dxfId="68" priority="18">
      <formula>M22 = "On Hold"</formula>
    </cfRule>
  </conditionalFormatting>
  <conditionalFormatting sqref="B2:B5 J10:P23">
    <cfRule type="cellIs" dxfId="67" priority="16" operator="equal">
      <formula>"Done"</formula>
    </cfRule>
    <cfRule type="cellIs" dxfId="66" priority="17" operator="equal">
      <formula>"On Hold"</formula>
    </cfRule>
    <cfRule type="cellIs" dxfId="65" priority="19" operator="equal">
      <formula>"Ready for Review"</formula>
    </cfRule>
    <cfRule type="cellIs" dxfId="64" priority="20" operator="equal">
      <formula>"In Review"</formula>
    </cfRule>
  </conditionalFormatting>
  <dataValidations count="7">
    <dataValidation type="list" allowBlank="1" sqref="B17:B23 B10:B15" xr:uid="{2C1E04F0-FEFE-4F68-B867-67ED8D0A5E6F}">
      <formula1>Data_Types</formula1>
    </dataValidation>
    <dataValidation type="list" allowBlank="1" sqref="B3 M10:M23" xr:uid="{5AE30192-73A4-4208-A293-09B4D2C405BC}">
      <formula1>Statuses</formula1>
    </dataValidation>
    <dataValidation type="list" allowBlank="1" sqref="B4:B5" xr:uid="{EAF5BE57-B6C7-40C3-9DED-016DE66D1A7F}">
      <formula1>ETL_Statuses</formula1>
    </dataValidation>
    <dataValidation type="list" allowBlank="1" showErrorMessage="1" sqref="B2" xr:uid="{083E10C2-C478-41BD-BB54-AD2DD3B86F05}">
      <formula1>STT_Statuses</formula1>
    </dataValidation>
    <dataValidation type="list" allowBlank="1" sqref="P10:P23" xr:uid="{DC91D158-56B3-42E9-9742-B8A65BAB7C14}">
      <formula1>Versions</formula1>
    </dataValidation>
    <dataValidation type="list" allowBlank="1" sqref="N10:N23" xr:uid="{DF8A2FE0-70FF-4B48-82EA-A2AAD5F7A7E8}">
      <formula1>Categories</formula1>
    </dataValidation>
    <dataValidation type="list" allowBlank="1" sqref="E9:E23" xr:uid="{4EC783ED-FAE9-49CC-AEC8-BD65E19DA33B}">
      <formula1>Sources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5FF4-8520-4A29-85B0-410EEA47AA59}">
  <sheetPr>
    <tabColor theme="4" tint="0.59999389629810485"/>
    <outlinePr summaryBelow="0" summaryRight="0"/>
  </sheetPr>
  <dimension ref="A1:R167"/>
  <sheetViews>
    <sheetView zoomScale="90" zoomScaleNormal="90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D29" sqref="D29"/>
    </sheetView>
  </sheetViews>
  <sheetFormatPr defaultColWidth="12.7109375" defaultRowHeight="15" customHeight="1" outlineLevelRow="1" outlineLevelCol="1" x14ac:dyDescent="0.2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111</v>
      </c>
      <c r="E3" s="105"/>
      <c r="F3" s="107" t="s">
        <v>112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62" t="s">
        <v>113</v>
      </c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66" t="s">
        <v>114</v>
      </c>
      <c r="B9" s="34" t="s">
        <v>38</v>
      </c>
      <c r="C9" s="36" t="e" vm="1">
        <v>#VALUE!</v>
      </c>
      <c r="D9" s="34" t="s">
        <v>115</v>
      </c>
      <c r="E9" s="95" t="s">
        <v>40</v>
      </c>
      <c r="F9" s="96"/>
      <c r="G9" s="17" t="s">
        <v>60</v>
      </c>
      <c r="H9" s="23" t="s">
        <v>114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66" t="s">
        <v>116</v>
      </c>
      <c r="B10" s="34" t="s">
        <v>50</v>
      </c>
      <c r="C10" s="36"/>
      <c r="D10" s="34" t="s">
        <v>117</v>
      </c>
      <c r="E10" s="95" t="s">
        <v>40</v>
      </c>
      <c r="F10" s="96"/>
      <c r="G10" s="17" t="s">
        <v>60</v>
      </c>
      <c r="H10" s="23" t="s">
        <v>116</v>
      </c>
      <c r="I10" s="23"/>
      <c r="J10" s="41"/>
      <c r="K10" s="12"/>
      <c r="L10" s="12"/>
      <c r="M10" s="49"/>
      <c r="N10" s="97"/>
      <c r="O10" s="98"/>
      <c r="P10" s="13"/>
      <c r="Q10" s="14"/>
      <c r="R10" s="14"/>
    </row>
    <row r="11" spans="1:18" ht="15.75" customHeight="1" outlineLevel="1" x14ac:dyDescent="0.25">
      <c r="A11" s="66" t="s">
        <v>118</v>
      </c>
      <c r="B11" s="34" t="s">
        <v>38</v>
      </c>
      <c r="C11" s="36"/>
      <c r="D11" s="34" t="s">
        <v>119</v>
      </c>
      <c r="E11" s="95" t="s">
        <v>120</v>
      </c>
      <c r="F11" s="96"/>
      <c r="G11" s="17"/>
      <c r="H11" s="23"/>
      <c r="I11" s="23" t="s">
        <v>121</v>
      </c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66" t="s">
        <v>122</v>
      </c>
      <c r="B12" s="34" t="s">
        <v>50</v>
      </c>
      <c r="C12" s="36" t="e" vm="1">
        <v>#VALUE!</v>
      </c>
      <c r="D12" s="34" t="s">
        <v>123</v>
      </c>
      <c r="E12" s="95" t="s">
        <v>40</v>
      </c>
      <c r="F12" s="96"/>
      <c r="G12" s="17" t="s">
        <v>124</v>
      </c>
      <c r="H12" s="23" t="s">
        <v>122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 x14ac:dyDescent="0.25">
      <c r="A13" s="66" t="s">
        <v>125</v>
      </c>
      <c r="B13" s="34" t="s">
        <v>38</v>
      </c>
      <c r="C13" s="36"/>
      <c r="D13" s="34" t="s">
        <v>126</v>
      </c>
      <c r="E13" s="95" t="s">
        <v>40</v>
      </c>
      <c r="F13" s="96"/>
      <c r="G13" s="17" t="s">
        <v>124</v>
      </c>
      <c r="H13" s="23" t="s">
        <v>125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66" t="s">
        <v>127</v>
      </c>
      <c r="B14" s="34" t="s">
        <v>50</v>
      </c>
      <c r="C14" s="36" t="e" vm="1">
        <v>#VALUE!</v>
      </c>
      <c r="D14" s="34" t="s">
        <v>128</v>
      </c>
      <c r="E14" s="95" t="s">
        <v>40</v>
      </c>
      <c r="F14" s="96"/>
      <c r="G14" s="17" t="s">
        <v>129</v>
      </c>
      <c r="H14" s="23" t="s">
        <v>127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66" t="s">
        <v>130</v>
      </c>
      <c r="B15" s="34" t="s">
        <v>38</v>
      </c>
      <c r="C15" s="36"/>
      <c r="D15" s="34" t="s">
        <v>131</v>
      </c>
      <c r="E15" s="95" t="s">
        <v>40</v>
      </c>
      <c r="F15" s="96"/>
      <c r="G15" s="17" t="s">
        <v>129</v>
      </c>
      <c r="H15" s="23" t="s">
        <v>130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66" t="s">
        <v>132</v>
      </c>
      <c r="B16" s="34" t="s">
        <v>50</v>
      </c>
      <c r="C16" s="36"/>
      <c r="D16" s="34" t="s">
        <v>133</v>
      </c>
      <c r="E16" s="95" t="s">
        <v>40</v>
      </c>
      <c r="F16" s="96"/>
      <c r="G16" s="17" t="s">
        <v>60</v>
      </c>
      <c r="H16" s="23" t="s">
        <v>132</v>
      </c>
      <c r="I16" s="23"/>
      <c r="J16" s="41"/>
      <c r="K16" s="12"/>
      <c r="L16" s="12"/>
      <c r="M16" s="49"/>
      <c r="N16" s="97"/>
      <c r="O16" s="98"/>
      <c r="P16" s="13"/>
      <c r="Q16" s="14"/>
      <c r="R16" s="14"/>
    </row>
    <row r="17" spans="1:18" ht="15.75" customHeight="1" outlineLevel="1" x14ac:dyDescent="0.25">
      <c r="A17" s="66" t="s">
        <v>61</v>
      </c>
      <c r="B17" s="34" t="s">
        <v>38</v>
      </c>
      <c r="C17" s="36"/>
      <c r="D17" s="16" t="s">
        <v>134</v>
      </c>
      <c r="E17" s="95" t="s">
        <v>40</v>
      </c>
      <c r="F17" s="96"/>
      <c r="G17" s="17" t="s">
        <v>60</v>
      </c>
      <c r="H17" s="23" t="s">
        <v>61</v>
      </c>
      <c r="I17" s="23"/>
      <c r="J17" s="41"/>
      <c r="K17" s="12"/>
      <c r="L17" s="12"/>
      <c r="M17" s="49"/>
      <c r="N17" s="97"/>
      <c r="O17" s="98"/>
      <c r="P17" s="13"/>
      <c r="Q17" s="14"/>
      <c r="R17" s="14"/>
    </row>
    <row r="18" spans="1:18" ht="15.75" customHeight="1" outlineLevel="1" x14ac:dyDescent="0.25">
      <c r="A18" s="66" t="s">
        <v>135</v>
      </c>
      <c r="B18" s="34" t="s">
        <v>72</v>
      </c>
      <c r="C18" s="36"/>
      <c r="D18" s="16" t="s">
        <v>136</v>
      </c>
      <c r="E18" s="95" t="s">
        <v>40</v>
      </c>
      <c r="F18" s="96"/>
      <c r="G18" s="17" t="s">
        <v>60</v>
      </c>
      <c r="H18" s="23" t="s">
        <v>135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 x14ac:dyDescent="0.25">
      <c r="A19" s="66" t="s">
        <v>137</v>
      </c>
      <c r="B19" s="34" t="s">
        <v>38</v>
      </c>
      <c r="C19" s="36" t="e" vm="1">
        <v>#VALUE!</v>
      </c>
      <c r="D19" s="16" t="s">
        <v>138</v>
      </c>
      <c r="E19" s="95" t="s">
        <v>40</v>
      </c>
      <c r="F19" s="96"/>
      <c r="G19" s="17" t="s">
        <v>60</v>
      </c>
      <c r="H19" s="23" t="s">
        <v>137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 x14ac:dyDescent="0.25">
      <c r="A20" s="66" t="s">
        <v>139</v>
      </c>
      <c r="B20" s="34" t="s">
        <v>38</v>
      </c>
      <c r="C20" s="36"/>
      <c r="D20" s="16" t="s">
        <v>140</v>
      </c>
      <c r="E20" s="95" t="s">
        <v>40</v>
      </c>
      <c r="F20" s="96"/>
      <c r="G20" s="17" t="s">
        <v>141</v>
      </c>
      <c r="H20" s="23" t="s">
        <v>139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66" t="s">
        <v>142</v>
      </c>
      <c r="B21" s="34" t="s">
        <v>38</v>
      </c>
      <c r="C21" s="36"/>
      <c r="D21" s="16" t="s">
        <v>143</v>
      </c>
      <c r="E21" s="95" t="s">
        <v>40</v>
      </c>
      <c r="F21" s="96"/>
      <c r="G21" s="17" t="s">
        <v>144</v>
      </c>
      <c r="H21" s="23" t="s">
        <v>142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 x14ac:dyDescent="0.25">
      <c r="A22" s="66" t="s">
        <v>145</v>
      </c>
      <c r="B22" s="34" t="s">
        <v>50</v>
      </c>
      <c r="C22" s="36"/>
      <c r="D22" s="16" t="s">
        <v>146</v>
      </c>
      <c r="E22" s="95" t="s">
        <v>120</v>
      </c>
      <c r="F22" s="96"/>
      <c r="G22" s="17" t="s">
        <v>147</v>
      </c>
      <c r="H22" s="23"/>
      <c r="I22" s="23" t="s">
        <v>148</v>
      </c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 x14ac:dyDescent="0.25">
      <c r="A23" s="66" t="s">
        <v>58</v>
      </c>
      <c r="B23" s="63" t="s">
        <v>38</v>
      </c>
      <c r="C23" s="64"/>
      <c r="D23" s="63" t="s">
        <v>149</v>
      </c>
      <c r="E23" s="95" t="s">
        <v>40</v>
      </c>
      <c r="F23" s="96"/>
      <c r="G23" s="17" t="s">
        <v>60</v>
      </c>
      <c r="H23" s="23" t="s">
        <v>58</v>
      </c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 x14ac:dyDescent="0.25">
      <c r="A24" s="66" t="s">
        <v>150</v>
      </c>
      <c r="B24" s="63" t="s">
        <v>38</v>
      </c>
      <c r="C24" s="64"/>
      <c r="D24" s="63" t="s">
        <v>151</v>
      </c>
      <c r="E24" s="95" t="s">
        <v>40</v>
      </c>
      <c r="F24" s="96"/>
      <c r="G24" s="17" t="s">
        <v>60</v>
      </c>
      <c r="H24" s="23" t="s">
        <v>150</v>
      </c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 x14ac:dyDescent="0.25">
      <c r="A25" s="66" t="s">
        <v>152</v>
      </c>
      <c r="B25" s="63" t="s">
        <v>38</v>
      </c>
      <c r="C25" s="64"/>
      <c r="D25" s="63" t="s">
        <v>153</v>
      </c>
      <c r="E25" s="95" t="s">
        <v>40</v>
      </c>
      <c r="F25" s="96"/>
      <c r="G25" s="17" t="s">
        <v>60</v>
      </c>
      <c r="H25" s="23" t="s">
        <v>152</v>
      </c>
      <c r="I25" s="23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 x14ac:dyDescent="0.25">
      <c r="A26" s="66" t="s">
        <v>154</v>
      </c>
      <c r="B26" s="34" t="s">
        <v>38</v>
      </c>
      <c r="C26" s="36"/>
      <c r="D26" s="65" t="s">
        <v>155</v>
      </c>
      <c r="E26" s="95" t="s">
        <v>40</v>
      </c>
      <c r="F26" s="96"/>
      <c r="G26" s="17" t="s">
        <v>60</v>
      </c>
      <c r="H26" s="23" t="s">
        <v>156</v>
      </c>
      <c r="I26" s="23"/>
      <c r="J26" s="41"/>
      <c r="K26" s="12"/>
      <c r="L26" s="12"/>
      <c r="M26" s="49"/>
      <c r="N26" s="97"/>
      <c r="O26" s="98"/>
      <c r="P26" s="13"/>
      <c r="Q26" s="14"/>
      <c r="R26" s="14"/>
    </row>
    <row r="27" spans="1:18" ht="15.75" customHeight="1" outlineLevel="1" x14ac:dyDescent="0.25">
      <c r="A27" s="94" t="s">
        <v>157</v>
      </c>
      <c r="B27" s="82" t="s">
        <v>38</v>
      </c>
      <c r="C27" s="83"/>
      <c r="D27" s="92" t="s">
        <v>158</v>
      </c>
      <c r="E27" s="143" t="s">
        <v>40</v>
      </c>
      <c r="F27" s="144"/>
      <c r="G27" s="84" t="s">
        <v>91</v>
      </c>
      <c r="H27" s="85" t="s">
        <v>157</v>
      </c>
      <c r="I27" s="85"/>
      <c r="J27" s="41"/>
      <c r="K27" s="12"/>
      <c r="L27" s="12"/>
      <c r="M27" s="49"/>
      <c r="N27" s="42"/>
      <c r="O27" s="43"/>
      <c r="P27" s="13"/>
      <c r="Q27" s="14"/>
      <c r="R27" s="14"/>
    </row>
    <row r="28" spans="1:18" ht="15.75" customHeight="1" outlineLevel="1" x14ac:dyDescent="0.25">
      <c r="A28" s="56" t="s">
        <v>159</v>
      </c>
      <c r="B28" s="58" t="s">
        <v>38</v>
      </c>
      <c r="C28" s="59"/>
      <c r="D28" s="80" t="s">
        <v>160</v>
      </c>
      <c r="E28" s="46" t="s">
        <v>120</v>
      </c>
      <c r="F28" s="47"/>
      <c r="G28" s="22" t="s">
        <v>141</v>
      </c>
      <c r="H28" s="22" t="s">
        <v>161</v>
      </c>
      <c r="I28" s="23" t="s">
        <v>162</v>
      </c>
      <c r="J28" s="41"/>
      <c r="K28" s="12"/>
      <c r="L28" s="12"/>
      <c r="M28" s="49"/>
      <c r="N28" s="42"/>
      <c r="O28" s="43"/>
      <c r="P28" s="13"/>
      <c r="Q28" s="14"/>
      <c r="R28" s="14"/>
    </row>
    <row r="29" spans="1:18" ht="15.75" customHeight="1" outlineLevel="1" x14ac:dyDescent="0.25">
      <c r="A29" s="56" t="s">
        <v>163</v>
      </c>
      <c r="B29" s="58" t="s">
        <v>38</v>
      </c>
      <c r="C29" s="59"/>
      <c r="D29" s="80" t="s">
        <v>164</v>
      </c>
      <c r="E29" s="46" t="s">
        <v>120</v>
      </c>
      <c r="F29" s="47"/>
      <c r="G29" s="22" t="s">
        <v>129</v>
      </c>
      <c r="H29" s="22" t="s">
        <v>156</v>
      </c>
      <c r="I29" s="23" t="s">
        <v>165</v>
      </c>
      <c r="J29" s="41"/>
      <c r="K29" s="12"/>
      <c r="L29" s="12"/>
      <c r="M29" s="49"/>
      <c r="N29" s="42"/>
      <c r="O29" s="43"/>
      <c r="P29" s="13"/>
      <c r="Q29" s="14"/>
      <c r="R29" s="14"/>
    </row>
    <row r="30" spans="1:18" ht="15.75" customHeight="1" outlineLevel="1" x14ac:dyDescent="0.25">
      <c r="A30" s="56" t="s">
        <v>166</v>
      </c>
      <c r="B30" s="58" t="s">
        <v>38</v>
      </c>
      <c r="C30" s="59"/>
      <c r="D30" s="80" t="s">
        <v>167</v>
      </c>
      <c r="E30" s="46" t="s">
        <v>120</v>
      </c>
      <c r="F30" s="47"/>
      <c r="G30" s="22" t="s">
        <v>91</v>
      </c>
      <c r="H30" s="22" t="s">
        <v>156</v>
      </c>
      <c r="I30" s="23" t="s">
        <v>168</v>
      </c>
      <c r="J30" s="41"/>
      <c r="K30" s="12"/>
      <c r="L30" s="12"/>
      <c r="M30" s="49"/>
      <c r="N30" s="42"/>
      <c r="O30" s="43"/>
      <c r="P30" s="13"/>
      <c r="Q30" s="14"/>
      <c r="R30" s="14"/>
    </row>
    <row r="31" spans="1:18" ht="15.75" customHeight="1" outlineLevel="1" x14ac:dyDescent="0.25">
      <c r="A31" s="56" t="s">
        <v>169</v>
      </c>
      <c r="B31" s="58" t="s">
        <v>38</v>
      </c>
      <c r="C31" s="59"/>
      <c r="D31" s="80" t="s">
        <v>170</v>
      </c>
      <c r="E31" s="46" t="s">
        <v>120</v>
      </c>
      <c r="F31" s="47"/>
      <c r="G31" s="22" t="s">
        <v>171</v>
      </c>
      <c r="H31" s="22" t="s">
        <v>172</v>
      </c>
      <c r="I31" s="23" t="s">
        <v>173</v>
      </c>
      <c r="J31" s="41"/>
      <c r="K31" s="12"/>
      <c r="L31" s="12"/>
      <c r="M31" s="49"/>
      <c r="N31" s="42"/>
      <c r="O31" s="43"/>
      <c r="P31" s="13"/>
      <c r="Q31" s="14"/>
      <c r="R31" s="14"/>
    </row>
    <row r="32" spans="1:18" ht="15.75" customHeight="1" outlineLevel="1" x14ac:dyDescent="0.25">
      <c r="A32" s="56" t="s">
        <v>174</v>
      </c>
      <c r="B32" s="58" t="s">
        <v>38</v>
      </c>
      <c r="C32" s="59"/>
      <c r="D32" s="80" t="s">
        <v>175</v>
      </c>
      <c r="E32" s="46" t="s">
        <v>120</v>
      </c>
      <c r="F32" s="47"/>
      <c r="G32" s="22" t="s">
        <v>176</v>
      </c>
      <c r="H32" s="22" t="s">
        <v>177</v>
      </c>
      <c r="I32" s="23" t="s">
        <v>178</v>
      </c>
      <c r="J32" s="41"/>
      <c r="K32" s="12"/>
      <c r="L32" s="12"/>
      <c r="M32" s="49"/>
      <c r="N32" s="42"/>
      <c r="O32" s="43"/>
      <c r="P32" s="13"/>
      <c r="Q32" s="14"/>
      <c r="R32" s="14"/>
    </row>
    <row r="33" spans="1:18" ht="15.75" customHeight="1" outlineLevel="1" x14ac:dyDescent="0.25">
      <c r="A33" s="66" t="s">
        <v>84</v>
      </c>
      <c r="B33" s="34" t="s">
        <v>50</v>
      </c>
      <c r="C33" s="36" t="e" vm="1">
        <v>#VALUE!</v>
      </c>
      <c r="D33" s="34" t="s">
        <v>85</v>
      </c>
      <c r="E33" s="95" t="s">
        <v>40</v>
      </c>
      <c r="F33" s="96"/>
      <c r="G33" s="17" t="s">
        <v>86</v>
      </c>
      <c r="H33" s="23" t="s">
        <v>84</v>
      </c>
      <c r="I33" s="23"/>
      <c r="J33" s="41"/>
      <c r="K33" s="12"/>
      <c r="L33" s="12"/>
      <c r="M33" s="49"/>
      <c r="N33" s="97"/>
      <c r="O33" s="98"/>
      <c r="P33" s="13"/>
      <c r="Q33" s="14"/>
      <c r="R33" s="14"/>
    </row>
    <row r="34" spans="1:18" ht="15.75" customHeight="1" outlineLevel="1" x14ac:dyDescent="0.25">
      <c r="A34" s="66" t="s">
        <v>87</v>
      </c>
      <c r="B34" s="34" t="s">
        <v>38</v>
      </c>
      <c r="C34" s="64"/>
      <c r="D34" s="63" t="s">
        <v>88</v>
      </c>
      <c r="E34" s="95" t="s">
        <v>40</v>
      </c>
      <c r="F34" s="96"/>
      <c r="G34" s="17" t="s">
        <v>86</v>
      </c>
      <c r="H34" s="23" t="s">
        <v>87</v>
      </c>
      <c r="I34" s="23"/>
      <c r="J34" s="41"/>
      <c r="K34" s="12"/>
      <c r="L34" s="12"/>
      <c r="M34" s="49"/>
      <c r="N34" s="42"/>
      <c r="O34" s="43"/>
      <c r="P34" s="13"/>
      <c r="Q34" s="14"/>
      <c r="R34" s="14"/>
    </row>
    <row r="35" spans="1:18" ht="15.75" customHeight="1" outlineLevel="1" x14ac:dyDescent="0.25">
      <c r="A35" s="66" t="s">
        <v>179</v>
      </c>
      <c r="B35" s="63" t="s">
        <v>50</v>
      </c>
      <c r="C35" s="36" t="e" vm="1">
        <v>#VALUE!</v>
      </c>
      <c r="D35" s="63" t="s">
        <v>180</v>
      </c>
      <c r="E35" s="95" t="s">
        <v>40</v>
      </c>
      <c r="F35" s="96"/>
      <c r="G35" s="17" t="s">
        <v>181</v>
      </c>
      <c r="H35" s="23" t="s">
        <v>179</v>
      </c>
      <c r="I35" s="23"/>
      <c r="J35" s="41"/>
      <c r="K35" s="12"/>
      <c r="L35" s="12"/>
      <c r="M35" s="49"/>
      <c r="N35" s="42"/>
      <c r="O35" s="43"/>
      <c r="P35" s="13"/>
      <c r="Q35" s="14"/>
      <c r="R35" s="14"/>
    </row>
    <row r="36" spans="1:18" ht="15.75" customHeight="1" outlineLevel="1" x14ac:dyDescent="0.25">
      <c r="A36" s="66" t="s">
        <v>182</v>
      </c>
      <c r="B36" s="63" t="s">
        <v>38</v>
      </c>
      <c r="C36" s="64"/>
      <c r="D36" s="63" t="s">
        <v>183</v>
      </c>
      <c r="E36" s="95" t="s">
        <v>40</v>
      </c>
      <c r="F36" s="96"/>
      <c r="G36" s="17" t="s">
        <v>181</v>
      </c>
      <c r="H36" s="23" t="s">
        <v>182</v>
      </c>
      <c r="I36" s="23"/>
      <c r="J36" s="41"/>
      <c r="K36" s="12"/>
      <c r="L36" s="12"/>
      <c r="M36" s="49"/>
      <c r="N36" s="42"/>
      <c r="O36" s="43"/>
      <c r="P36" s="13"/>
      <c r="Q36" s="14"/>
      <c r="R36" s="14"/>
    </row>
    <row r="37" spans="1:18" ht="15.75" customHeight="1" outlineLevel="1" x14ac:dyDescent="0.25">
      <c r="A37" s="66" t="s">
        <v>89</v>
      </c>
      <c r="B37" s="34" t="s">
        <v>50</v>
      </c>
      <c r="C37" s="36"/>
      <c r="D37" s="65" t="s">
        <v>90</v>
      </c>
      <c r="E37" s="95" t="s">
        <v>40</v>
      </c>
      <c r="F37" s="96"/>
      <c r="G37" s="17" t="s">
        <v>91</v>
      </c>
      <c r="H37" s="23" t="s">
        <v>89</v>
      </c>
      <c r="I37" s="23"/>
      <c r="J37" s="41"/>
      <c r="K37" s="12"/>
      <c r="L37" s="12"/>
      <c r="M37" s="49"/>
      <c r="N37" s="42"/>
      <c r="O37" s="43"/>
      <c r="P37" s="13"/>
      <c r="Q37" s="14"/>
      <c r="R37" s="14"/>
    </row>
    <row r="38" spans="1:18" ht="15.75" customHeight="1" outlineLevel="1" x14ac:dyDescent="0.25">
      <c r="A38" s="56" t="s">
        <v>92</v>
      </c>
      <c r="B38" s="63" t="s">
        <v>38</v>
      </c>
      <c r="C38" s="57"/>
      <c r="D38" s="67" t="s">
        <v>93</v>
      </c>
      <c r="E38" s="95" t="s">
        <v>40</v>
      </c>
      <c r="F38" s="96"/>
      <c r="G38" s="17" t="s">
        <v>91</v>
      </c>
      <c r="H38" s="60" t="s">
        <v>92</v>
      </c>
      <c r="I38" s="23"/>
      <c r="J38" s="41"/>
      <c r="K38" s="12"/>
      <c r="L38" s="12"/>
      <c r="M38" s="49"/>
      <c r="N38" s="97"/>
      <c r="O38" s="98"/>
      <c r="P38" s="13"/>
      <c r="Q38" s="14"/>
      <c r="R38" s="14"/>
    </row>
    <row r="39" spans="1:18" ht="15.75" customHeight="1" outlineLevel="1" x14ac:dyDescent="0.25">
      <c r="A39" s="56"/>
      <c r="B39" s="58"/>
      <c r="C39" s="59"/>
      <c r="D39" s="80"/>
      <c r="E39" s="46"/>
      <c r="F39" s="47"/>
      <c r="G39" s="17"/>
      <c r="H39" s="61"/>
      <c r="I39" s="23"/>
      <c r="J39" s="41"/>
      <c r="K39" s="12"/>
      <c r="L39" s="12"/>
      <c r="M39" s="49"/>
      <c r="N39" s="42"/>
      <c r="O39" s="43"/>
      <c r="P39" s="13"/>
      <c r="Q39" s="14"/>
      <c r="R39" s="14"/>
    </row>
    <row r="40" spans="1:18" ht="15.75" customHeight="1" outlineLevel="1" x14ac:dyDescent="0.25">
      <c r="J40" s="41"/>
      <c r="K40" s="12"/>
      <c r="L40" s="12"/>
      <c r="M40" s="49"/>
      <c r="N40" s="42"/>
      <c r="O40" s="43"/>
      <c r="P40" s="13"/>
      <c r="Q40" s="14"/>
      <c r="R40" s="14"/>
    </row>
    <row r="41" spans="1:18" ht="15.75" customHeight="1" outlineLevel="1" x14ac:dyDescent="0.25">
      <c r="J41" s="41"/>
      <c r="K41" s="12"/>
      <c r="L41" s="12"/>
      <c r="M41" s="49"/>
      <c r="N41" s="42"/>
      <c r="O41" s="43"/>
      <c r="P41" s="13"/>
      <c r="Q41" s="14"/>
      <c r="R41" s="14"/>
    </row>
    <row r="42" spans="1:18" ht="15.75" customHeight="1" outlineLevel="1" x14ac:dyDescent="0.25">
      <c r="J42" s="41"/>
      <c r="K42" s="12"/>
      <c r="L42" s="12"/>
      <c r="M42" s="49"/>
      <c r="N42" s="42"/>
      <c r="O42" s="43"/>
      <c r="P42" s="13"/>
      <c r="Q42" s="14"/>
      <c r="R42" s="14"/>
    </row>
    <row r="43" spans="1:18" ht="15.75" customHeight="1" outlineLevel="1" x14ac:dyDescent="0.25">
      <c r="J43" s="41"/>
      <c r="K43" s="12"/>
      <c r="L43" s="12"/>
      <c r="M43" s="49"/>
      <c r="N43" s="42"/>
      <c r="O43" s="43"/>
      <c r="P43" s="13"/>
      <c r="Q43" s="14"/>
      <c r="R43" s="14"/>
    </row>
    <row r="44" spans="1:18" ht="15.75" customHeight="1" outlineLevel="1" x14ac:dyDescent="0.25">
      <c r="J44" s="41"/>
      <c r="K44" s="12"/>
      <c r="L44" s="12"/>
      <c r="M44" s="49"/>
      <c r="N44" s="42"/>
      <c r="O44" s="43"/>
      <c r="P44" s="13"/>
      <c r="Q44" s="14"/>
      <c r="R44" s="14"/>
    </row>
    <row r="45" spans="1:18" ht="15.75" customHeight="1" outlineLevel="1" x14ac:dyDescent="0.25">
      <c r="A45" s="37"/>
      <c r="B45" s="34"/>
      <c r="C45" s="36"/>
      <c r="D45" s="34"/>
      <c r="E45" s="95"/>
      <c r="F45" s="96"/>
      <c r="G45" s="17"/>
      <c r="H45" s="22"/>
      <c r="I45" s="23"/>
      <c r="J45" s="41"/>
      <c r="K45" s="12"/>
      <c r="L45" s="12"/>
      <c r="M45" s="45"/>
      <c r="N45" s="97"/>
      <c r="O45" s="98"/>
      <c r="P45" s="13"/>
      <c r="Q45" s="14"/>
      <c r="R45" s="14"/>
    </row>
    <row r="46" spans="1:18" ht="15.75" customHeight="1" outlineLevel="1" x14ac:dyDescent="0.25">
      <c r="A46" s="38" t="s">
        <v>94</v>
      </c>
      <c r="B46" s="39"/>
      <c r="C46" s="40"/>
      <c r="D46" s="9"/>
      <c r="E46" s="95"/>
      <c r="F46" s="96"/>
      <c r="G46" s="17"/>
      <c r="H46" s="25"/>
      <c r="I46" s="24"/>
      <c r="J46" s="51"/>
      <c r="K46" s="3"/>
      <c r="L46" s="3"/>
      <c r="M46" s="49"/>
      <c r="N46" s="139"/>
      <c r="O46" s="140"/>
      <c r="P46" s="4"/>
      <c r="Q46" s="14"/>
      <c r="R46" s="14"/>
    </row>
    <row r="47" spans="1:18" ht="15.75" customHeight="1" x14ac:dyDescent="0.2">
      <c r="E47" s="141"/>
      <c r="F47" s="103"/>
      <c r="G47" s="142"/>
      <c r="H47" s="119"/>
      <c r="I47" s="26"/>
      <c r="N47" s="122"/>
      <c r="O47" s="122"/>
    </row>
    <row r="48" spans="1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</sheetData>
  <autoFilter ref="A8:P46" xr:uid="{00000000-0009-0000-0000-000000000000}"/>
  <mergeCells count="63">
    <mergeCell ref="E13:F13"/>
    <mergeCell ref="E14:F14"/>
    <mergeCell ref="E15:F15"/>
    <mergeCell ref="E20:F20"/>
    <mergeCell ref="R2:R5"/>
    <mergeCell ref="E16:F16"/>
    <mergeCell ref="N16:O16"/>
    <mergeCell ref="E17:F17"/>
    <mergeCell ref="N17:O17"/>
    <mergeCell ref="E18:F18"/>
    <mergeCell ref="E19:F19"/>
    <mergeCell ref="Q2:Q5"/>
    <mergeCell ref="E9:F9"/>
    <mergeCell ref="N9:O9"/>
    <mergeCell ref="E10:F10"/>
    <mergeCell ref="N10:O10"/>
    <mergeCell ref="E26:F26"/>
    <mergeCell ref="E45:F45"/>
    <mergeCell ref="N45:O45"/>
    <mergeCell ref="E46:F46"/>
    <mergeCell ref="N46:O46"/>
    <mergeCell ref="N33:O33"/>
    <mergeCell ref="N26:O26"/>
    <mergeCell ref="E33:F33"/>
    <mergeCell ref="E27:F27"/>
    <mergeCell ref="B7:D7"/>
    <mergeCell ref="E7:I7"/>
    <mergeCell ref="J7:L7"/>
    <mergeCell ref="N7:P7"/>
    <mergeCell ref="E8:F8"/>
    <mergeCell ref="N8:O8"/>
    <mergeCell ref="F5:G5"/>
    <mergeCell ref="G47:H47"/>
    <mergeCell ref="N47:O47"/>
    <mergeCell ref="E38:F38"/>
    <mergeCell ref="N38:O38"/>
    <mergeCell ref="E35:F35"/>
    <mergeCell ref="E36:F36"/>
    <mergeCell ref="E37:F37"/>
    <mergeCell ref="E34:F34"/>
    <mergeCell ref="E11:F11"/>
    <mergeCell ref="N11:O11"/>
    <mergeCell ref="E22:F22"/>
    <mergeCell ref="E23:F23"/>
    <mergeCell ref="E24:F24"/>
    <mergeCell ref="E25:F25"/>
    <mergeCell ref="E47:F47"/>
    <mergeCell ref="E21:F21"/>
    <mergeCell ref="E12:F12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C3:C5"/>
    <mergeCell ref="D3:D5"/>
    <mergeCell ref="F3:G3"/>
    <mergeCell ref="F4:G4"/>
  </mergeCells>
  <conditionalFormatting sqref="A9:A11">
    <cfRule type="expression" dxfId="63" priority="2">
      <formula>M9 = "On Hold"</formula>
    </cfRule>
  </conditionalFormatting>
  <conditionalFormatting sqref="A14 A22:A32">
    <cfRule type="expression" dxfId="62" priority="3">
      <formula>M14 = "On Hold"</formula>
    </cfRule>
  </conditionalFormatting>
  <conditionalFormatting sqref="A16:A19 A45:A46">
    <cfRule type="expression" dxfId="61" priority="8">
      <formula>M16 = "On Hold"</formula>
    </cfRule>
  </conditionalFormatting>
  <conditionalFormatting sqref="A37">
    <cfRule type="expression" dxfId="60" priority="1">
      <formula>M37 = "On Hold"</formula>
    </cfRule>
  </conditionalFormatting>
  <conditionalFormatting sqref="B2:B5 J9:P46">
    <cfRule type="cellIs" dxfId="59" priority="6" operator="equal">
      <formula>"Done"</formula>
    </cfRule>
    <cfRule type="cellIs" dxfId="58" priority="7" operator="equal">
      <formula>"On Hold"</formula>
    </cfRule>
    <cfRule type="cellIs" dxfId="57" priority="9" operator="equal">
      <formula>"Ready for Review"</formula>
    </cfRule>
    <cfRule type="cellIs" dxfId="56" priority="10" operator="equal">
      <formula>"In Review"</formula>
    </cfRule>
  </conditionalFormatting>
  <dataValidations count="7">
    <dataValidation type="list" allowBlank="1" showErrorMessage="1" sqref="B2" xr:uid="{20440959-1C93-4F1B-AF5F-76AAA68568C6}">
      <formula1>STT_Statuses</formula1>
    </dataValidation>
    <dataValidation type="list" allowBlank="1" sqref="B4:B5" xr:uid="{C14BF64D-165C-45B3-BFD1-ECD68D2646E6}">
      <formula1>ETL_Statuses</formula1>
    </dataValidation>
    <dataValidation type="list" allowBlank="1" sqref="B3 M9:M46" xr:uid="{B1D521AF-4BBF-4E91-B5DB-7DD6649A67A3}">
      <formula1>Statuses</formula1>
    </dataValidation>
    <dataValidation type="list" allowBlank="1" sqref="B45:B46 B9:B38" xr:uid="{585311A5-B69D-46D2-8F8D-4D1EB931B2AE}">
      <formula1>Data_Types</formula1>
    </dataValidation>
    <dataValidation type="list" allowBlank="1" sqref="N9:N46" xr:uid="{B8FCF983-079B-4681-9822-021D43B01554}">
      <formula1>Categories</formula1>
    </dataValidation>
    <dataValidation type="list" allowBlank="1" sqref="P9:P46" xr:uid="{810C5E3B-868D-4563-ABBA-19B9397CDF09}">
      <formula1>Versions</formula1>
    </dataValidation>
    <dataValidation type="list" allowBlank="1" sqref="E45:E46 E9:E39" xr:uid="{1BE17BEB-A93A-4C04-8B7D-591B01917308}">
      <formula1>Sources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6127-E80D-4098-8913-C80B26F01CC0}">
  <sheetPr>
    <tabColor theme="4" tint="0.59999389629810485"/>
    <outlinePr summaryBelow="0" summaryRight="0"/>
  </sheetPr>
  <dimension ref="A1:R176"/>
  <sheetViews>
    <sheetView workbookViewId="0">
      <pane xSplit="1" ySplit="8" topLeftCell="B32" activePane="bottomRight" state="frozen"/>
      <selection pane="topRight" activeCell="B1" sqref="B1"/>
      <selection pane="bottomLeft" activeCell="A9" sqref="A9"/>
      <selection pane="bottomRight" activeCell="G33" sqref="G33"/>
    </sheetView>
  </sheetViews>
  <sheetFormatPr defaultColWidth="12.7109375" defaultRowHeight="15" customHeight="1" outlineLevelRow="1" outlineLevelCol="1" x14ac:dyDescent="0.2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4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4.57031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/>
      <c r="E3" s="105"/>
      <c r="F3" s="107" t="s">
        <v>184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185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11"/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/>
      <c r="R8" s="14"/>
    </row>
    <row r="9" spans="1:18" ht="15.75" customHeight="1" outlineLevel="1" x14ac:dyDescent="0.25">
      <c r="A9" s="56" t="s">
        <v>92</v>
      </c>
      <c r="B9" s="34" t="s">
        <v>38</v>
      </c>
      <c r="C9" s="36" t="e" vm="1">
        <v>#VALUE!</v>
      </c>
      <c r="D9" s="34" t="s">
        <v>93</v>
      </c>
      <c r="E9" s="95" t="s">
        <v>40</v>
      </c>
      <c r="F9" s="96"/>
      <c r="G9" s="17" t="s">
        <v>91</v>
      </c>
      <c r="H9" s="17" t="s">
        <v>92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56" t="s">
        <v>118</v>
      </c>
      <c r="B10" s="34" t="s">
        <v>38</v>
      </c>
      <c r="C10" s="36"/>
      <c r="D10" s="34" t="s">
        <v>186</v>
      </c>
      <c r="E10" s="95" t="s">
        <v>120</v>
      </c>
      <c r="F10" s="96"/>
      <c r="G10" s="17"/>
      <c r="H10" s="17"/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 x14ac:dyDescent="0.25">
      <c r="A11" s="56" t="s">
        <v>187</v>
      </c>
      <c r="B11" s="34" t="s">
        <v>38</v>
      </c>
      <c r="C11" s="36"/>
      <c r="D11" s="34" t="s">
        <v>188</v>
      </c>
      <c r="E11" s="95" t="s">
        <v>120</v>
      </c>
      <c r="F11" s="96"/>
      <c r="G11" s="17"/>
      <c r="H11" s="17"/>
      <c r="I11" s="23"/>
      <c r="J11" s="41"/>
      <c r="K11" s="12"/>
      <c r="L11" s="12"/>
      <c r="M11" s="49"/>
      <c r="N11" s="42"/>
      <c r="O11" s="43"/>
      <c r="P11" s="13"/>
      <c r="Q11" s="14"/>
      <c r="R11" s="14"/>
    </row>
    <row r="12" spans="1:18" ht="15.75" customHeight="1" outlineLevel="1" x14ac:dyDescent="0.25">
      <c r="A12" s="56" t="s">
        <v>84</v>
      </c>
      <c r="B12" s="34" t="s">
        <v>50</v>
      </c>
      <c r="C12" s="36" t="e" vm="1">
        <v>#VALUE!</v>
      </c>
      <c r="D12" s="34" t="s">
        <v>85</v>
      </c>
      <c r="E12" s="95" t="s">
        <v>40</v>
      </c>
      <c r="F12" s="96"/>
      <c r="G12" s="17" t="s">
        <v>86</v>
      </c>
      <c r="H12" s="17" t="s">
        <v>84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 x14ac:dyDescent="0.25">
      <c r="A13" s="56" t="s">
        <v>87</v>
      </c>
      <c r="B13" s="34" t="s">
        <v>38</v>
      </c>
      <c r="C13" s="36"/>
      <c r="D13" s="34" t="s">
        <v>88</v>
      </c>
      <c r="E13" s="95" t="s">
        <v>40</v>
      </c>
      <c r="F13" s="96"/>
      <c r="G13" s="17" t="s">
        <v>86</v>
      </c>
      <c r="H13" s="17" t="s">
        <v>87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56" t="s">
        <v>189</v>
      </c>
      <c r="B14" s="34" t="s">
        <v>38</v>
      </c>
      <c r="C14" s="36"/>
      <c r="D14" s="34" t="s">
        <v>190</v>
      </c>
      <c r="E14" s="95" t="s">
        <v>120</v>
      </c>
      <c r="F14" s="96"/>
      <c r="G14" s="17" t="s">
        <v>191</v>
      </c>
      <c r="H14" s="17"/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56" t="s">
        <v>192</v>
      </c>
      <c r="B15" s="34" t="s">
        <v>72</v>
      </c>
      <c r="C15" s="36"/>
      <c r="D15" s="34" t="s">
        <v>193</v>
      </c>
      <c r="E15" s="95" t="s">
        <v>40</v>
      </c>
      <c r="F15" s="96"/>
      <c r="G15" s="17" t="s">
        <v>194</v>
      </c>
      <c r="H15" s="17" t="s">
        <v>192</v>
      </c>
      <c r="I15" s="23" t="s">
        <v>195</v>
      </c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37" t="s">
        <v>122</v>
      </c>
      <c r="B16" s="34" t="s">
        <v>50</v>
      </c>
      <c r="C16" s="36" t="e" vm="1">
        <v>#VALUE!</v>
      </c>
      <c r="D16" s="34" t="s">
        <v>123</v>
      </c>
      <c r="E16" s="95" t="s">
        <v>40</v>
      </c>
      <c r="F16" s="96"/>
      <c r="G16" s="17" t="s">
        <v>124</v>
      </c>
      <c r="H16" s="17" t="s">
        <v>122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 x14ac:dyDescent="0.25">
      <c r="A17" s="37" t="s">
        <v>125</v>
      </c>
      <c r="B17" s="34" t="s">
        <v>38</v>
      </c>
      <c r="C17" s="36"/>
      <c r="D17" s="34" t="s">
        <v>126</v>
      </c>
      <c r="E17" s="95" t="s">
        <v>40</v>
      </c>
      <c r="F17" s="96"/>
      <c r="G17" s="17" t="s">
        <v>124</v>
      </c>
      <c r="H17" s="17" t="s">
        <v>125</v>
      </c>
      <c r="I17" s="23"/>
      <c r="J17" s="41"/>
      <c r="K17" s="12"/>
      <c r="L17" s="12"/>
      <c r="M17" s="49"/>
      <c r="N17" s="42"/>
      <c r="O17" s="43"/>
      <c r="P17" s="13"/>
      <c r="Q17" s="14"/>
      <c r="R17" s="14"/>
    </row>
    <row r="18" spans="1:18" ht="15.75" customHeight="1" outlineLevel="1" x14ac:dyDescent="0.25">
      <c r="A18" s="37" t="s">
        <v>127</v>
      </c>
      <c r="B18" s="34" t="s">
        <v>50</v>
      </c>
      <c r="C18" s="36" t="e" vm="1">
        <v>#VALUE!</v>
      </c>
      <c r="D18" s="34" t="s">
        <v>128</v>
      </c>
      <c r="E18" s="95" t="s">
        <v>40</v>
      </c>
      <c r="F18" s="96"/>
      <c r="G18" s="17" t="s">
        <v>129</v>
      </c>
      <c r="H18" s="22" t="s">
        <v>127</v>
      </c>
      <c r="I18" s="17"/>
      <c r="J18" s="41"/>
      <c r="K18" s="12"/>
      <c r="L18" s="12"/>
      <c r="M18" s="49"/>
      <c r="N18" s="97"/>
      <c r="O18" s="98"/>
      <c r="P18" s="13"/>
      <c r="Q18" s="14"/>
      <c r="R18" s="14"/>
    </row>
    <row r="19" spans="1:18" ht="15.75" customHeight="1" outlineLevel="1" x14ac:dyDescent="0.25">
      <c r="A19" s="37" t="s">
        <v>130</v>
      </c>
      <c r="B19" s="34" t="s">
        <v>38</v>
      </c>
      <c r="C19" s="36"/>
      <c r="D19" s="34" t="s">
        <v>131</v>
      </c>
      <c r="E19" s="95" t="s">
        <v>40</v>
      </c>
      <c r="F19" s="96"/>
      <c r="G19" s="17" t="s">
        <v>129</v>
      </c>
      <c r="H19" s="22" t="s">
        <v>130</v>
      </c>
      <c r="I19" s="48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 x14ac:dyDescent="0.25">
      <c r="A20" s="37" t="s">
        <v>137</v>
      </c>
      <c r="B20" s="34" t="s">
        <v>38</v>
      </c>
      <c r="C20" s="36" t="e" vm="1">
        <v>#VALUE!</v>
      </c>
      <c r="D20" s="34" t="s">
        <v>196</v>
      </c>
      <c r="E20" s="95" t="s">
        <v>40</v>
      </c>
      <c r="F20" s="96"/>
      <c r="G20" s="17" t="s">
        <v>141</v>
      </c>
      <c r="H20" s="22" t="s">
        <v>137</v>
      </c>
      <c r="I20" s="48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37" t="s">
        <v>132</v>
      </c>
      <c r="B21" s="34" t="s">
        <v>50</v>
      </c>
      <c r="C21" s="36"/>
      <c r="D21" s="34" t="s">
        <v>133</v>
      </c>
      <c r="E21" s="95" t="s">
        <v>40</v>
      </c>
      <c r="F21" s="96"/>
      <c r="G21" s="17" t="s">
        <v>141</v>
      </c>
      <c r="H21" s="22" t="s">
        <v>132</v>
      </c>
      <c r="I21" s="48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 x14ac:dyDescent="0.25">
      <c r="A22" s="37" t="s">
        <v>139</v>
      </c>
      <c r="B22" s="34" t="s">
        <v>38</v>
      </c>
      <c r="C22" s="36"/>
      <c r="D22" s="34" t="s">
        <v>140</v>
      </c>
      <c r="E22" s="95" t="s">
        <v>40</v>
      </c>
      <c r="F22" s="96"/>
      <c r="G22" s="17" t="s">
        <v>141</v>
      </c>
      <c r="H22" s="22" t="s">
        <v>139</v>
      </c>
      <c r="I22" s="48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 x14ac:dyDescent="0.25">
      <c r="A23" s="37" t="s">
        <v>142</v>
      </c>
      <c r="B23" s="34" t="s">
        <v>38</v>
      </c>
      <c r="C23" s="36"/>
      <c r="D23" s="34" t="s">
        <v>197</v>
      </c>
      <c r="E23" s="95" t="s">
        <v>40</v>
      </c>
      <c r="F23" s="96"/>
      <c r="G23" s="17" t="s">
        <v>144</v>
      </c>
      <c r="H23" s="22" t="s">
        <v>142</v>
      </c>
      <c r="I23" s="48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 x14ac:dyDescent="0.25">
      <c r="A24" s="37" t="s">
        <v>198</v>
      </c>
      <c r="B24" s="34" t="s">
        <v>38</v>
      </c>
      <c r="C24" s="36"/>
      <c r="D24" s="34" t="s">
        <v>199</v>
      </c>
      <c r="E24" s="95" t="s">
        <v>40</v>
      </c>
      <c r="F24" s="96"/>
      <c r="G24" s="17" t="s">
        <v>144</v>
      </c>
      <c r="H24" s="22" t="s">
        <v>198</v>
      </c>
      <c r="I24" s="48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 x14ac:dyDescent="0.25">
      <c r="A25" s="37" t="s">
        <v>179</v>
      </c>
      <c r="B25" s="34" t="s">
        <v>50</v>
      </c>
      <c r="C25" s="36" t="e" vm="1">
        <v>#VALUE!</v>
      </c>
      <c r="D25" s="34" t="s">
        <v>180</v>
      </c>
      <c r="E25" s="95" t="s">
        <v>40</v>
      </c>
      <c r="F25" s="96"/>
      <c r="G25" s="17" t="s">
        <v>181</v>
      </c>
      <c r="H25" s="22" t="s">
        <v>179</v>
      </c>
      <c r="I25" s="48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 x14ac:dyDescent="0.25">
      <c r="A26" s="37" t="s">
        <v>182</v>
      </c>
      <c r="B26" s="34" t="s">
        <v>38</v>
      </c>
      <c r="C26" s="36"/>
      <c r="D26" s="34" t="s">
        <v>183</v>
      </c>
      <c r="E26" s="95" t="s">
        <v>40</v>
      </c>
      <c r="F26" s="96"/>
      <c r="G26" s="17" t="s">
        <v>181</v>
      </c>
      <c r="H26" s="22" t="s">
        <v>182</v>
      </c>
      <c r="I26" s="48"/>
      <c r="J26" s="41"/>
      <c r="K26" s="12"/>
      <c r="L26" s="12"/>
      <c r="M26" s="49"/>
      <c r="N26" s="42"/>
      <c r="O26" s="43"/>
      <c r="P26" s="13"/>
      <c r="Q26" s="14"/>
      <c r="R26" s="14"/>
    </row>
    <row r="27" spans="1:18" ht="15.75" customHeight="1" outlineLevel="1" x14ac:dyDescent="0.25">
      <c r="A27" s="37" t="s">
        <v>200</v>
      </c>
      <c r="B27" s="34" t="s">
        <v>50</v>
      </c>
      <c r="C27" s="36"/>
      <c r="D27" s="34" t="s">
        <v>201</v>
      </c>
      <c r="E27" s="95" t="s">
        <v>120</v>
      </c>
      <c r="F27" s="96"/>
      <c r="G27" s="17" t="s">
        <v>60</v>
      </c>
      <c r="H27" s="22"/>
      <c r="I27" s="48" t="s">
        <v>202</v>
      </c>
      <c r="J27" s="41"/>
      <c r="K27" s="12"/>
      <c r="L27" s="12"/>
      <c r="M27" s="49"/>
      <c r="N27" s="42"/>
      <c r="O27" s="43"/>
      <c r="P27" s="13"/>
      <c r="Q27" s="14"/>
      <c r="R27" s="14"/>
    </row>
    <row r="28" spans="1:18" ht="15.75" customHeight="1" outlineLevel="1" x14ac:dyDescent="0.25">
      <c r="A28" s="37" t="s">
        <v>203</v>
      </c>
      <c r="B28" s="34" t="s">
        <v>50</v>
      </c>
      <c r="C28" s="36"/>
      <c r="D28" s="34" t="s">
        <v>204</v>
      </c>
      <c r="E28" s="95" t="s">
        <v>120</v>
      </c>
      <c r="F28" s="96"/>
      <c r="G28" s="17" t="s">
        <v>60</v>
      </c>
      <c r="H28" s="22"/>
      <c r="I28" s="48" t="s">
        <v>205</v>
      </c>
      <c r="J28" s="41"/>
      <c r="K28" s="12"/>
      <c r="L28" s="12"/>
      <c r="M28" s="49"/>
      <c r="N28" s="42"/>
      <c r="O28" s="43"/>
      <c r="P28" s="13"/>
      <c r="Q28" s="14"/>
      <c r="R28" s="14"/>
    </row>
    <row r="29" spans="1:18" ht="15.75" customHeight="1" outlineLevel="1" x14ac:dyDescent="0.25">
      <c r="A29" s="37" t="s">
        <v>206</v>
      </c>
      <c r="B29" s="34" t="s">
        <v>72</v>
      </c>
      <c r="C29" s="36"/>
      <c r="D29" s="34" t="s">
        <v>207</v>
      </c>
      <c r="E29" s="95" t="s">
        <v>120</v>
      </c>
      <c r="F29" s="96"/>
      <c r="G29" s="17" t="s">
        <v>208</v>
      </c>
      <c r="H29" s="22"/>
      <c r="I29" s="48" t="s">
        <v>209</v>
      </c>
      <c r="J29" s="41"/>
      <c r="K29" s="12"/>
      <c r="L29" s="12"/>
      <c r="M29" s="49"/>
      <c r="N29" s="42"/>
      <c r="O29" s="43"/>
      <c r="P29" s="13"/>
      <c r="Q29" s="14"/>
      <c r="R29" s="14"/>
    </row>
    <row r="30" spans="1:18" ht="15.75" customHeight="1" outlineLevel="1" x14ac:dyDescent="0.25">
      <c r="A30" s="37" t="s">
        <v>210</v>
      </c>
      <c r="B30" s="34" t="s">
        <v>72</v>
      </c>
      <c r="C30" s="36"/>
      <c r="D30" s="34" t="s">
        <v>211</v>
      </c>
      <c r="E30" s="95" t="s">
        <v>120</v>
      </c>
      <c r="F30" s="96"/>
      <c r="G30" s="17" t="s">
        <v>212</v>
      </c>
      <c r="H30" s="22"/>
      <c r="I30" s="48" t="s">
        <v>213</v>
      </c>
      <c r="J30" s="41"/>
      <c r="K30" s="12"/>
      <c r="L30" s="12"/>
      <c r="M30" s="49"/>
      <c r="N30" s="42"/>
      <c r="O30" s="43"/>
      <c r="P30" s="13"/>
      <c r="Q30" s="14"/>
      <c r="R30" s="14"/>
    </row>
    <row r="31" spans="1:18" ht="15.75" customHeight="1" outlineLevel="1" x14ac:dyDescent="0.25">
      <c r="A31" s="37" t="s">
        <v>214</v>
      </c>
      <c r="B31" s="34" t="s">
        <v>72</v>
      </c>
      <c r="C31" s="36"/>
      <c r="D31" s="34" t="s">
        <v>215</v>
      </c>
      <c r="E31" s="95" t="s">
        <v>40</v>
      </c>
      <c r="F31" s="96"/>
      <c r="G31" s="17" t="s">
        <v>141</v>
      </c>
      <c r="H31" s="22" t="s">
        <v>214</v>
      </c>
      <c r="I31" s="48"/>
      <c r="J31" s="41"/>
      <c r="K31" s="12"/>
      <c r="L31" s="12"/>
      <c r="M31" s="49"/>
      <c r="N31" s="42"/>
      <c r="O31" s="43"/>
      <c r="P31" s="13"/>
      <c r="Q31" s="14"/>
      <c r="R31" s="14"/>
    </row>
    <row r="32" spans="1:18" ht="15.75" customHeight="1" outlineLevel="1" x14ac:dyDescent="0.25">
      <c r="A32" s="37" t="s">
        <v>216</v>
      </c>
      <c r="B32" s="34" t="s">
        <v>72</v>
      </c>
      <c r="C32" s="36"/>
      <c r="D32" s="34" t="s">
        <v>217</v>
      </c>
      <c r="E32" s="95" t="s">
        <v>40</v>
      </c>
      <c r="F32" s="96"/>
      <c r="G32" s="17" t="s">
        <v>100</v>
      </c>
      <c r="H32" s="22" t="s">
        <v>216</v>
      </c>
      <c r="I32" s="48"/>
      <c r="J32" s="41"/>
      <c r="K32" s="12"/>
      <c r="L32" s="12"/>
      <c r="M32" s="49"/>
      <c r="N32" s="42"/>
      <c r="O32" s="43"/>
      <c r="P32" s="13"/>
      <c r="Q32" s="14"/>
      <c r="R32" s="14"/>
    </row>
    <row r="33" spans="1:18" ht="15.75" customHeight="1" outlineLevel="1" x14ac:dyDescent="0.25">
      <c r="A33" s="37" t="s">
        <v>218</v>
      </c>
      <c r="B33" s="34" t="s">
        <v>72</v>
      </c>
      <c r="C33" s="36"/>
      <c r="D33" s="34" t="s">
        <v>219</v>
      </c>
      <c r="E33" s="95" t="s">
        <v>40</v>
      </c>
      <c r="F33" s="96"/>
      <c r="G33" s="17" t="s">
        <v>100</v>
      </c>
      <c r="H33" s="22" t="s">
        <v>218</v>
      </c>
      <c r="I33" s="48"/>
      <c r="J33" s="41"/>
      <c r="K33" s="12"/>
      <c r="L33" s="12"/>
      <c r="M33" s="49"/>
      <c r="N33" s="42"/>
      <c r="O33" s="43"/>
      <c r="P33" s="13"/>
      <c r="Q33" s="14"/>
      <c r="R33" s="14"/>
    </row>
    <row r="34" spans="1:18" ht="15.75" customHeight="1" outlineLevel="1" x14ac:dyDescent="0.25">
      <c r="A34" s="37" t="s">
        <v>220</v>
      </c>
      <c r="B34" s="34" t="s">
        <v>72</v>
      </c>
      <c r="C34" s="36"/>
      <c r="D34" s="16" t="s">
        <v>221</v>
      </c>
      <c r="E34" s="95" t="s">
        <v>40</v>
      </c>
      <c r="F34" s="96"/>
      <c r="G34" s="17" t="s">
        <v>91</v>
      </c>
      <c r="H34" s="22" t="s">
        <v>220</v>
      </c>
      <c r="I34" s="48"/>
      <c r="J34" s="41"/>
      <c r="K34" s="12"/>
      <c r="L34" s="12"/>
      <c r="M34" s="49"/>
      <c r="N34" s="42"/>
      <c r="O34" s="43"/>
      <c r="P34" s="13"/>
      <c r="Q34" s="14"/>
      <c r="R34" s="14"/>
    </row>
    <row r="35" spans="1:18" ht="15.75" customHeight="1" outlineLevel="1" x14ac:dyDescent="0.25">
      <c r="A35" s="37" t="s">
        <v>222</v>
      </c>
      <c r="B35" s="34" t="s">
        <v>72</v>
      </c>
      <c r="C35" s="36"/>
      <c r="D35" s="34" t="s">
        <v>223</v>
      </c>
      <c r="E35" s="95" t="s">
        <v>40</v>
      </c>
      <c r="F35" s="96"/>
      <c r="G35" s="17" t="s">
        <v>91</v>
      </c>
      <c r="H35" s="22" t="s">
        <v>222</v>
      </c>
      <c r="I35" s="48"/>
      <c r="J35" s="41"/>
      <c r="K35" s="12"/>
      <c r="L35" s="12"/>
      <c r="M35" s="49"/>
      <c r="N35" s="42"/>
      <c r="O35" s="43"/>
      <c r="P35" s="13"/>
      <c r="Q35" s="14"/>
      <c r="R35" s="14"/>
    </row>
    <row r="36" spans="1:18" ht="15.75" customHeight="1" outlineLevel="1" x14ac:dyDescent="0.25">
      <c r="A36" s="37" t="s">
        <v>224</v>
      </c>
      <c r="B36" s="34" t="s">
        <v>72</v>
      </c>
      <c r="C36" s="36"/>
      <c r="D36" s="16" t="s">
        <v>225</v>
      </c>
      <c r="E36" s="95" t="s">
        <v>40</v>
      </c>
      <c r="F36" s="96"/>
      <c r="G36" s="17" t="s">
        <v>91</v>
      </c>
      <c r="H36" s="17" t="s">
        <v>224</v>
      </c>
      <c r="I36" s="23"/>
      <c r="J36" s="41"/>
      <c r="K36" s="12"/>
      <c r="L36" s="12"/>
      <c r="M36" s="49"/>
      <c r="N36" s="97"/>
      <c r="O36" s="98"/>
      <c r="P36" s="13"/>
      <c r="Q36" s="14"/>
      <c r="R36" s="14"/>
    </row>
    <row r="37" spans="1:18" ht="15.75" customHeight="1" outlineLevel="1" x14ac:dyDescent="0.25">
      <c r="A37" s="37" t="s">
        <v>226</v>
      </c>
      <c r="B37" s="34" t="s">
        <v>72</v>
      </c>
      <c r="C37" s="36"/>
      <c r="D37" s="34" t="s">
        <v>227</v>
      </c>
      <c r="E37" s="95" t="s">
        <v>40</v>
      </c>
      <c r="F37" s="96"/>
      <c r="G37" s="17" t="s">
        <v>91</v>
      </c>
      <c r="H37" s="17" t="s">
        <v>226</v>
      </c>
      <c r="I37" s="23"/>
      <c r="J37" s="41"/>
      <c r="K37" s="12"/>
      <c r="L37" s="12"/>
      <c r="M37" s="49"/>
      <c r="N37" s="42"/>
      <c r="O37" s="43"/>
      <c r="P37" s="13"/>
      <c r="Q37" s="14"/>
      <c r="R37" s="14"/>
    </row>
    <row r="38" spans="1:18" ht="15.75" customHeight="1" outlineLevel="1" x14ac:dyDescent="0.25">
      <c r="A38" s="37" t="s">
        <v>228</v>
      </c>
      <c r="B38" s="34" t="s">
        <v>72</v>
      </c>
      <c r="C38" s="36"/>
      <c r="D38" s="16" t="s">
        <v>229</v>
      </c>
      <c r="E38" s="95" t="s">
        <v>40</v>
      </c>
      <c r="F38" s="96"/>
      <c r="G38" s="17" t="s">
        <v>91</v>
      </c>
      <c r="H38" s="17" t="s">
        <v>228</v>
      </c>
      <c r="I38" s="23"/>
      <c r="J38" s="41"/>
      <c r="K38" s="12"/>
      <c r="L38" s="12"/>
      <c r="M38" s="49"/>
      <c r="N38" s="97"/>
      <c r="O38" s="98"/>
      <c r="P38" s="13"/>
      <c r="Q38" s="14"/>
      <c r="R38" s="14"/>
    </row>
    <row r="39" spans="1:18" ht="15.75" customHeight="1" outlineLevel="1" x14ac:dyDescent="0.25">
      <c r="A39" s="34" t="s">
        <v>230</v>
      </c>
      <c r="B39" s="34" t="s">
        <v>38</v>
      </c>
      <c r="C39" s="34"/>
      <c r="D39" s="34" t="s">
        <v>231</v>
      </c>
      <c r="E39" s="95" t="s">
        <v>40</v>
      </c>
      <c r="F39" s="96"/>
      <c r="G39" s="17" t="s">
        <v>91</v>
      </c>
      <c r="H39" s="17" t="s">
        <v>230</v>
      </c>
      <c r="I39" s="23"/>
      <c r="J39" s="41"/>
      <c r="K39" s="12"/>
      <c r="L39" s="12"/>
      <c r="M39" s="49"/>
      <c r="N39" s="97"/>
      <c r="O39" s="98"/>
      <c r="P39" s="13"/>
      <c r="Q39" s="14"/>
      <c r="R39" s="14"/>
    </row>
    <row r="40" spans="1:18" ht="15.75" customHeight="1" outlineLevel="1" x14ac:dyDescent="0.25">
      <c r="A40" s="34" t="s">
        <v>232</v>
      </c>
      <c r="B40" s="34" t="s">
        <v>38</v>
      </c>
      <c r="C40" s="34"/>
      <c r="D40" s="34" t="s">
        <v>233</v>
      </c>
      <c r="E40" s="95" t="s">
        <v>40</v>
      </c>
      <c r="F40" s="96"/>
      <c r="G40" s="17" t="s">
        <v>91</v>
      </c>
      <c r="H40" s="17" t="s">
        <v>232</v>
      </c>
      <c r="I40" s="23"/>
      <c r="J40" s="41"/>
      <c r="K40" s="12"/>
      <c r="L40" s="12"/>
      <c r="M40" s="49"/>
      <c r="N40" s="97"/>
      <c r="O40" s="98"/>
      <c r="P40" s="13"/>
      <c r="Q40" s="14"/>
      <c r="R40" s="14"/>
    </row>
    <row r="41" spans="1:18" ht="15.75" customHeight="1" outlineLevel="1" x14ac:dyDescent="0.25">
      <c r="A41" s="82" t="s">
        <v>156</v>
      </c>
      <c r="B41" s="82" t="s">
        <v>38</v>
      </c>
      <c r="C41" s="82"/>
      <c r="D41" s="82" t="s">
        <v>234</v>
      </c>
      <c r="E41" s="143" t="s">
        <v>40</v>
      </c>
      <c r="F41" s="144"/>
      <c r="G41" s="84" t="s">
        <v>91</v>
      </c>
      <c r="H41" s="93" t="s">
        <v>156</v>
      </c>
      <c r="I41" s="85"/>
      <c r="J41" s="41"/>
      <c r="K41" s="12"/>
      <c r="L41" s="12"/>
      <c r="M41" s="49"/>
      <c r="N41" s="97"/>
      <c r="O41" s="98"/>
      <c r="P41" s="13"/>
      <c r="Q41" s="14"/>
      <c r="R41" s="14"/>
    </row>
    <row r="42" spans="1:18" ht="15.75" customHeight="1" outlineLevel="1" x14ac:dyDescent="0.25">
      <c r="A42" s="34" t="s">
        <v>159</v>
      </c>
      <c r="B42" s="34" t="s">
        <v>38</v>
      </c>
      <c r="C42" s="34"/>
      <c r="D42" s="34" t="s">
        <v>235</v>
      </c>
      <c r="E42" s="46" t="s">
        <v>120</v>
      </c>
      <c r="F42" s="47"/>
      <c r="G42" s="88" t="s">
        <v>141</v>
      </c>
      <c r="H42" s="22" t="s">
        <v>161</v>
      </c>
      <c r="I42" s="23" t="s">
        <v>236</v>
      </c>
      <c r="J42" s="41"/>
      <c r="K42" s="12"/>
      <c r="L42" s="12"/>
      <c r="M42" s="49"/>
      <c r="N42" s="42"/>
      <c r="O42" s="43"/>
      <c r="P42" s="13"/>
      <c r="Q42" s="14"/>
      <c r="R42" s="14"/>
    </row>
    <row r="43" spans="1:18" ht="15.75" customHeight="1" outlineLevel="1" x14ac:dyDescent="0.25">
      <c r="A43" s="34" t="s">
        <v>163</v>
      </c>
      <c r="B43" s="34" t="s">
        <v>38</v>
      </c>
      <c r="C43" s="34"/>
      <c r="D43" s="34" t="s">
        <v>237</v>
      </c>
      <c r="E43" s="46" t="s">
        <v>120</v>
      </c>
      <c r="F43" s="47"/>
      <c r="G43" s="88" t="s">
        <v>129</v>
      </c>
      <c r="H43" s="22" t="s">
        <v>156</v>
      </c>
      <c r="I43" s="23" t="s">
        <v>238</v>
      </c>
      <c r="J43" s="41"/>
      <c r="K43" s="12"/>
      <c r="L43" s="12"/>
      <c r="M43" s="49"/>
      <c r="N43" s="42"/>
      <c r="O43" s="43"/>
      <c r="P43" s="13"/>
      <c r="Q43" s="14"/>
      <c r="R43" s="14"/>
    </row>
    <row r="44" spans="1:18" ht="15.75" customHeight="1" outlineLevel="1" x14ac:dyDescent="0.25">
      <c r="A44" s="34" t="s">
        <v>166</v>
      </c>
      <c r="B44" s="34" t="s">
        <v>38</v>
      </c>
      <c r="C44" s="34"/>
      <c r="D44" s="34" t="s">
        <v>239</v>
      </c>
      <c r="E44" s="46" t="s">
        <v>120</v>
      </c>
      <c r="F44" s="47"/>
      <c r="G44" s="88" t="s">
        <v>91</v>
      </c>
      <c r="H44" s="22" t="s">
        <v>156</v>
      </c>
      <c r="I44" s="23" t="s">
        <v>168</v>
      </c>
      <c r="J44" s="41"/>
      <c r="K44" s="12"/>
      <c r="L44" s="12"/>
      <c r="M44" s="49"/>
      <c r="N44" s="42"/>
      <c r="O44" s="43"/>
      <c r="P44" s="13"/>
      <c r="Q44" s="14"/>
      <c r="R44" s="14"/>
    </row>
    <row r="45" spans="1:18" ht="15.75" customHeight="1" outlineLevel="1" x14ac:dyDescent="0.25">
      <c r="A45" s="34" t="s">
        <v>240</v>
      </c>
      <c r="B45" s="34" t="s">
        <v>38</v>
      </c>
      <c r="C45" s="34"/>
      <c r="D45" s="34" t="s">
        <v>241</v>
      </c>
      <c r="E45" s="46" t="s">
        <v>120</v>
      </c>
      <c r="F45" s="47"/>
      <c r="G45" s="88" t="s">
        <v>242</v>
      </c>
      <c r="H45" s="22" t="s">
        <v>243</v>
      </c>
      <c r="I45" s="23" t="s">
        <v>244</v>
      </c>
      <c r="J45" s="41"/>
      <c r="K45" s="12"/>
      <c r="L45" s="12"/>
      <c r="M45" s="49"/>
      <c r="N45" s="42"/>
      <c r="O45" s="43"/>
      <c r="P45" s="13"/>
      <c r="Q45" s="14"/>
      <c r="R45" s="14"/>
    </row>
    <row r="46" spans="1:18" ht="15.75" customHeight="1" outlineLevel="1" x14ac:dyDescent="0.25">
      <c r="A46" s="34" t="s">
        <v>89</v>
      </c>
      <c r="B46" s="34" t="s">
        <v>50</v>
      </c>
      <c r="C46" s="34"/>
      <c r="D46" s="34" t="s">
        <v>245</v>
      </c>
      <c r="E46" s="95" t="s">
        <v>40</v>
      </c>
      <c r="F46" s="96"/>
      <c r="G46" s="17" t="s">
        <v>91</v>
      </c>
      <c r="H46" s="17" t="s">
        <v>89</v>
      </c>
      <c r="I46" s="23"/>
      <c r="J46" s="41"/>
      <c r="K46" s="12"/>
      <c r="L46" s="12"/>
      <c r="M46" s="49"/>
      <c r="N46" s="97"/>
      <c r="O46" s="98"/>
      <c r="P46" s="13"/>
      <c r="Q46" s="14"/>
      <c r="R46" s="14"/>
    </row>
    <row r="47" spans="1:18" ht="15.75" customHeight="1" outlineLevel="1" x14ac:dyDescent="0.25">
      <c r="A47" s="89" t="s">
        <v>246</v>
      </c>
      <c r="B47" s="89" t="s">
        <v>38</v>
      </c>
      <c r="C47" s="90"/>
      <c r="D47" s="91" t="s">
        <v>247</v>
      </c>
      <c r="E47" s="95" t="s">
        <v>40</v>
      </c>
      <c r="F47" s="96"/>
      <c r="G47" s="88" t="s">
        <v>86</v>
      </c>
      <c r="H47" s="22" t="s">
        <v>246</v>
      </c>
      <c r="I47" s="23"/>
      <c r="J47" s="41"/>
      <c r="K47" s="12"/>
      <c r="L47" s="12"/>
      <c r="M47" s="49"/>
      <c r="N47" s="97"/>
      <c r="O47" s="98"/>
      <c r="P47" s="13"/>
      <c r="Q47" s="14"/>
      <c r="R47" s="14"/>
    </row>
    <row r="48" spans="1:18" ht="15.75" customHeight="1" outlineLevel="1" x14ac:dyDescent="0.25">
      <c r="A48" s="37"/>
      <c r="B48" s="34"/>
      <c r="C48" s="36"/>
      <c r="D48" s="35"/>
      <c r="E48" s="95"/>
      <c r="F48" s="96"/>
      <c r="G48" s="17"/>
      <c r="H48" s="22"/>
      <c r="I48" s="23"/>
      <c r="J48" s="41"/>
      <c r="K48" s="12"/>
      <c r="L48" s="12"/>
      <c r="M48" s="45"/>
      <c r="N48" s="42"/>
      <c r="O48" s="43"/>
      <c r="P48" s="13"/>
      <c r="Q48" s="14"/>
      <c r="R48" s="14"/>
    </row>
    <row r="49" spans="1:18" ht="15.75" customHeight="1" outlineLevel="1" x14ac:dyDescent="0.25">
      <c r="A49" s="38" t="s">
        <v>94</v>
      </c>
      <c r="B49" s="39"/>
      <c r="C49" s="40"/>
      <c r="D49" s="9"/>
      <c r="E49" s="95"/>
      <c r="F49" s="96"/>
      <c r="G49" s="17"/>
      <c r="H49" s="25"/>
      <c r="I49" s="24"/>
      <c r="J49" s="51"/>
      <c r="K49" s="3"/>
      <c r="L49" s="3"/>
      <c r="M49" s="49"/>
      <c r="N49" s="139"/>
      <c r="O49" s="140"/>
      <c r="P49" s="4"/>
      <c r="Q49" s="14"/>
      <c r="R49" s="14"/>
    </row>
    <row r="50" spans="1:18" ht="15.75" customHeight="1" x14ac:dyDescent="0.2">
      <c r="E50" s="141"/>
      <c r="F50" s="103"/>
      <c r="G50" s="142"/>
      <c r="H50" s="119"/>
      <c r="I50" s="26"/>
      <c r="N50" s="122"/>
      <c r="O50" s="122"/>
    </row>
    <row r="51" spans="1:18" ht="15.75" customHeight="1" x14ac:dyDescent="0.2"/>
    <row r="52" spans="1:18" ht="15.75" customHeight="1" x14ac:dyDescent="0.2"/>
    <row r="53" spans="1:18" ht="15.75" customHeight="1" x14ac:dyDescent="0.2"/>
    <row r="54" spans="1:18" ht="15.75" customHeight="1" x14ac:dyDescent="0.2"/>
    <row r="55" spans="1:18" ht="15.75" customHeight="1" x14ac:dyDescent="0.2"/>
    <row r="56" spans="1:18" ht="15.75" customHeight="1" x14ac:dyDescent="0.2"/>
    <row r="57" spans="1:18" ht="15.75" customHeight="1" x14ac:dyDescent="0.2"/>
    <row r="58" spans="1:18" ht="15.75" customHeight="1" x14ac:dyDescent="0.2"/>
    <row r="59" spans="1:18" ht="15.75" customHeight="1" x14ac:dyDescent="0.2"/>
    <row r="60" spans="1:18" ht="15.75" customHeight="1" x14ac:dyDescent="0.2"/>
    <row r="61" spans="1:18" ht="15.75" customHeight="1" x14ac:dyDescent="0.2"/>
    <row r="62" spans="1:18" ht="15.75" customHeight="1" x14ac:dyDescent="0.2"/>
    <row r="63" spans="1:18" ht="15.75" customHeight="1" x14ac:dyDescent="0.2"/>
    <row r="64" spans="1:1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</sheetData>
  <autoFilter ref="A8:P49" xr:uid="{00000000-0009-0000-0000-000000000000}"/>
  <mergeCells count="73">
    <mergeCell ref="R2:R5"/>
    <mergeCell ref="E46:F46"/>
    <mergeCell ref="N46:O46"/>
    <mergeCell ref="E48:F48"/>
    <mergeCell ref="E40:F40"/>
    <mergeCell ref="N40:O40"/>
    <mergeCell ref="E41:F41"/>
    <mergeCell ref="N41:O41"/>
    <mergeCell ref="E47:F47"/>
    <mergeCell ref="N47:O47"/>
    <mergeCell ref="E39:F39"/>
    <mergeCell ref="N39:O39"/>
    <mergeCell ref="E36:F36"/>
    <mergeCell ref="N36:O36"/>
    <mergeCell ref="E38:F38"/>
    <mergeCell ref="N38:O38"/>
    <mergeCell ref="E49:F49"/>
    <mergeCell ref="N49:O49"/>
    <mergeCell ref="E50:F50"/>
    <mergeCell ref="G50:H50"/>
    <mergeCell ref="N50:O50"/>
    <mergeCell ref="E9:F9"/>
    <mergeCell ref="N9:O9"/>
    <mergeCell ref="E18:F18"/>
    <mergeCell ref="N18:O18"/>
    <mergeCell ref="E17:F17"/>
    <mergeCell ref="E16:F16"/>
    <mergeCell ref="E10:F10"/>
    <mergeCell ref="E11:F11"/>
    <mergeCell ref="E13:F13"/>
    <mergeCell ref="E14:F14"/>
    <mergeCell ref="E15:F15"/>
    <mergeCell ref="E34:F34"/>
    <mergeCell ref="E35:F35"/>
    <mergeCell ref="E37:F37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B7:D7"/>
    <mergeCell ref="E7:I7"/>
    <mergeCell ref="J7:L7"/>
    <mergeCell ref="N7:P7"/>
    <mergeCell ref="E8:F8"/>
    <mergeCell ref="N8:O8"/>
    <mergeCell ref="Q2:Q5"/>
    <mergeCell ref="C3:C5"/>
    <mergeCell ref="D3:D5"/>
    <mergeCell ref="F3:G3"/>
    <mergeCell ref="F4:G4"/>
    <mergeCell ref="F5:G5"/>
    <mergeCell ref="E19:F19"/>
    <mergeCell ref="E20:F20"/>
    <mergeCell ref="E23:F23"/>
    <mergeCell ref="E24:F24"/>
    <mergeCell ref="E12:F12"/>
    <mergeCell ref="E22:F22"/>
    <mergeCell ref="E21:F21"/>
  </mergeCells>
  <phoneticPr fontId="14" type="noConversion"/>
  <conditionalFormatting sqref="A16:A38">
    <cfRule type="expression" dxfId="55" priority="6">
      <formula>M16 = "On Hold"</formula>
    </cfRule>
  </conditionalFormatting>
  <conditionalFormatting sqref="A39">
    <cfRule type="expression" dxfId="54" priority="3">
      <formula>M41 = "On Hold"</formula>
    </cfRule>
  </conditionalFormatting>
  <conditionalFormatting sqref="A40">
    <cfRule type="expression" dxfId="53" priority="4">
      <formula>M36 = "On Hold"</formula>
    </cfRule>
  </conditionalFormatting>
  <conditionalFormatting sqref="A41 A45:A46 A48:A49">
    <cfRule type="expression" dxfId="52" priority="1">
      <formula>M41 = "On Hold"</formula>
    </cfRule>
  </conditionalFormatting>
  <conditionalFormatting sqref="B2:B5 J9:P49">
    <cfRule type="cellIs" dxfId="51" priority="14" operator="equal">
      <formula>"Done"</formula>
    </cfRule>
    <cfRule type="cellIs" dxfId="50" priority="15" operator="equal">
      <formula>"On Hold"</formula>
    </cfRule>
    <cfRule type="cellIs" dxfId="49" priority="17" operator="equal">
      <formula>"Ready for Review"</formula>
    </cfRule>
    <cfRule type="cellIs" dxfId="48" priority="18" operator="equal">
      <formula>"In Review"</formula>
    </cfRule>
  </conditionalFormatting>
  <dataValidations count="7">
    <dataValidation type="list" allowBlank="1" sqref="B3 M9:M49" xr:uid="{ED5AB26E-299C-421B-B9E4-1BEEDEF53134}">
      <formula1>Statuses</formula1>
    </dataValidation>
    <dataValidation type="list" allowBlank="1" sqref="B4:B5" xr:uid="{B32E1B9F-F3C2-4666-A310-6A2F5E78346A}">
      <formula1>ETL_Statuses</formula1>
    </dataValidation>
    <dataValidation type="list" allowBlank="1" showErrorMessage="1" sqref="B2" xr:uid="{7E1F6F8E-78C0-4B77-8526-53BC7DD16B6B}">
      <formula1>STT_Statuses</formula1>
    </dataValidation>
    <dataValidation type="list" allowBlank="1" sqref="B9:B46 B48:B49" xr:uid="{7FA6478C-3008-4E1A-8C09-D4CB91DBAED8}">
      <formula1>Data_Types</formula1>
    </dataValidation>
    <dataValidation type="list" allowBlank="1" sqref="E48:E49 E9:E47" xr:uid="{D69072B1-8356-4B10-8E1F-05641CA2D8D5}">
      <formula1>Sources</formula1>
    </dataValidation>
    <dataValidation type="list" allowBlank="1" sqref="P9:P49" xr:uid="{66F1623F-37EE-4118-B8BB-020C210D57B8}">
      <formula1>Versions</formula1>
    </dataValidation>
    <dataValidation type="list" allowBlank="1" sqref="N9:N49" xr:uid="{718B4B8D-02AC-4972-9C4A-4E56853FCE24}">
      <formula1>Categories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D5D9-8792-4D59-B8E4-88E7225F004E}">
  <sheetPr>
    <tabColor theme="4" tint="0.59999389629810485"/>
    <outlinePr summaryBelow="0" summaryRight="0"/>
  </sheetPr>
  <dimension ref="A1:R153"/>
  <sheetViews>
    <sheetView zoomScale="110" zoomScaleNormal="110" workbookViewId="0">
      <pane xSplit="1" ySplit="8" topLeftCell="F9" activePane="bottomRight" state="frozen"/>
      <selection pane="topRight" activeCell="B1" sqref="B1"/>
      <selection pane="bottomLeft" activeCell="A9" sqref="A9"/>
      <selection pane="bottomRight" activeCell="I11" sqref="I11"/>
    </sheetView>
  </sheetViews>
  <sheetFormatPr defaultColWidth="12.7109375" defaultRowHeight="15" customHeight="1" outlineLevelRow="1" outlineLevelCol="1" x14ac:dyDescent="0.2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248</v>
      </c>
      <c r="E3" s="105"/>
      <c r="F3" s="107" t="s">
        <v>249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62"/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x14ac:dyDescent="0.25">
      <c r="A9" s="37"/>
      <c r="B9" s="34" t="s">
        <v>38</v>
      </c>
      <c r="C9" s="36" t="e" vm="1">
        <v>#VALUE!</v>
      </c>
      <c r="D9" s="35" t="s">
        <v>250</v>
      </c>
      <c r="E9" s="95" t="s">
        <v>40</v>
      </c>
      <c r="F9" s="96"/>
      <c r="G9" s="17" t="s">
        <v>251</v>
      </c>
      <c r="H9" s="23" t="s">
        <v>252</v>
      </c>
      <c r="I9" s="23" t="s">
        <v>253</v>
      </c>
      <c r="J9" s="50"/>
      <c r="K9" s="12"/>
      <c r="L9" s="12"/>
      <c r="M9" s="52"/>
      <c r="N9" s="42"/>
      <c r="O9" s="50"/>
      <c r="P9" s="13"/>
      <c r="Q9" s="14"/>
      <c r="R9" s="14"/>
    </row>
    <row r="10" spans="1:18" ht="15.75" customHeight="1" outlineLevel="1" x14ac:dyDescent="0.25">
      <c r="A10" s="66" t="s">
        <v>254</v>
      </c>
      <c r="B10" s="34" t="s">
        <v>38</v>
      </c>
      <c r="C10" s="36" t="e" vm="1">
        <v>#VALUE!</v>
      </c>
      <c r="D10" s="34" t="s">
        <v>255</v>
      </c>
      <c r="E10" s="95" t="s">
        <v>40</v>
      </c>
      <c r="F10" s="96"/>
      <c r="G10" s="17" t="s">
        <v>251</v>
      </c>
      <c r="H10" s="23" t="s">
        <v>256</v>
      </c>
      <c r="I10" s="23"/>
      <c r="J10" s="41"/>
      <c r="K10" s="12"/>
      <c r="L10" s="12"/>
      <c r="M10" s="49"/>
      <c r="N10" s="97" t="s">
        <v>42</v>
      </c>
      <c r="O10" s="98"/>
      <c r="P10" s="13" t="s">
        <v>43</v>
      </c>
      <c r="Q10" s="14"/>
      <c r="R10" s="14"/>
    </row>
    <row r="11" spans="1:18" ht="15.75" customHeight="1" outlineLevel="1" x14ac:dyDescent="0.25">
      <c r="A11" s="66" t="s">
        <v>257</v>
      </c>
      <c r="B11" s="34" t="s">
        <v>50</v>
      </c>
      <c r="C11" s="36"/>
      <c r="D11" s="34" t="s">
        <v>258</v>
      </c>
      <c r="E11" s="95" t="s">
        <v>40</v>
      </c>
      <c r="F11" s="96"/>
      <c r="G11" s="17" t="s">
        <v>251</v>
      </c>
      <c r="H11" s="23" t="s">
        <v>259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66" t="s">
        <v>260</v>
      </c>
      <c r="B12" s="34" t="s">
        <v>38</v>
      </c>
      <c r="C12" s="36"/>
      <c r="D12" s="34" t="s">
        <v>261</v>
      </c>
      <c r="E12" s="95" t="s">
        <v>40</v>
      </c>
      <c r="F12" s="96"/>
      <c r="G12" s="17" t="s">
        <v>251</v>
      </c>
      <c r="H12" s="23" t="s">
        <v>262</v>
      </c>
      <c r="I12" s="23"/>
      <c r="J12" s="41"/>
      <c r="K12" s="12"/>
      <c r="L12" s="12"/>
      <c r="M12" s="49"/>
      <c r="N12" s="97"/>
      <c r="O12" s="98"/>
      <c r="P12" s="13"/>
      <c r="Q12" s="14"/>
      <c r="R12" s="14"/>
    </row>
    <row r="13" spans="1:18" ht="15.75" customHeight="1" outlineLevel="1" x14ac:dyDescent="0.25">
      <c r="A13" s="66" t="s">
        <v>103</v>
      </c>
      <c r="B13" s="34" t="s">
        <v>50</v>
      </c>
      <c r="C13" s="36"/>
      <c r="D13" s="34" t="s">
        <v>104</v>
      </c>
      <c r="E13" s="95" t="s">
        <v>40</v>
      </c>
      <c r="F13" s="96"/>
      <c r="G13" s="17" t="s">
        <v>251</v>
      </c>
      <c r="H13" s="23" t="s">
        <v>263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66" t="s">
        <v>264</v>
      </c>
      <c r="B14" s="34" t="s">
        <v>38</v>
      </c>
      <c r="C14" s="36"/>
      <c r="D14" s="34" t="s">
        <v>265</v>
      </c>
      <c r="E14" s="95" t="s">
        <v>40</v>
      </c>
      <c r="F14" s="96"/>
      <c r="G14" s="17" t="s">
        <v>251</v>
      </c>
      <c r="H14" s="23" t="s">
        <v>266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66" t="s">
        <v>87</v>
      </c>
      <c r="B15" s="34" t="s">
        <v>50</v>
      </c>
      <c r="C15" s="36"/>
      <c r="D15" s="34" t="s">
        <v>88</v>
      </c>
      <c r="E15" s="95" t="s">
        <v>40</v>
      </c>
      <c r="F15" s="96"/>
      <c r="G15" s="17" t="s">
        <v>86</v>
      </c>
      <c r="H15" s="17" t="s">
        <v>87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66" t="s">
        <v>84</v>
      </c>
      <c r="B16" s="34" t="s">
        <v>38</v>
      </c>
      <c r="C16" s="36" t="e" vm="1">
        <v>#VALUE!</v>
      </c>
      <c r="D16" s="34" t="s">
        <v>267</v>
      </c>
      <c r="E16" s="95" t="s">
        <v>40</v>
      </c>
      <c r="F16" s="96"/>
      <c r="G16" s="17" t="s">
        <v>86</v>
      </c>
      <c r="H16" s="17" t="s">
        <v>84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 x14ac:dyDescent="0.25">
      <c r="A17" s="66" t="s">
        <v>122</v>
      </c>
      <c r="B17" s="34" t="s">
        <v>50</v>
      </c>
      <c r="C17" s="36" t="e" vm="1">
        <v>#VALUE!</v>
      </c>
      <c r="D17" s="34" t="s">
        <v>123</v>
      </c>
      <c r="E17" s="95" t="s">
        <v>40</v>
      </c>
      <c r="F17" s="96"/>
      <c r="G17" s="17" t="s">
        <v>124</v>
      </c>
      <c r="H17" s="23" t="s">
        <v>122</v>
      </c>
      <c r="I17" s="23"/>
      <c r="J17" s="41"/>
      <c r="K17" s="12"/>
      <c r="L17" s="12"/>
      <c r="M17" s="49"/>
      <c r="N17" s="97"/>
      <c r="O17" s="98"/>
      <c r="P17" s="13"/>
      <c r="Q17" s="14"/>
      <c r="R17" s="14"/>
    </row>
    <row r="18" spans="1:18" ht="15.75" customHeight="1" outlineLevel="1" x14ac:dyDescent="0.25">
      <c r="A18" s="66" t="s">
        <v>125</v>
      </c>
      <c r="B18" s="34" t="s">
        <v>38</v>
      </c>
      <c r="C18" s="36"/>
      <c r="D18" s="16" t="s">
        <v>126</v>
      </c>
      <c r="E18" s="95" t="s">
        <v>40</v>
      </c>
      <c r="F18" s="96"/>
      <c r="G18" s="17" t="s">
        <v>124</v>
      </c>
      <c r="H18" s="23" t="s">
        <v>125</v>
      </c>
      <c r="I18" s="23"/>
      <c r="J18" s="41"/>
      <c r="K18" s="12"/>
      <c r="L18" s="12"/>
      <c r="M18" s="49"/>
      <c r="N18" s="97"/>
      <c r="O18" s="98"/>
      <c r="P18" s="13"/>
      <c r="Q18" s="14"/>
      <c r="R18" s="14"/>
    </row>
    <row r="19" spans="1:18" ht="15.75" customHeight="1" outlineLevel="1" x14ac:dyDescent="0.25">
      <c r="A19" s="66" t="s">
        <v>127</v>
      </c>
      <c r="B19" s="34" t="s">
        <v>72</v>
      </c>
      <c r="C19" s="36" t="e" vm="1">
        <v>#VALUE!</v>
      </c>
      <c r="D19" s="16" t="s">
        <v>128</v>
      </c>
      <c r="E19" s="95" t="s">
        <v>40</v>
      </c>
      <c r="F19" s="96"/>
      <c r="G19" s="17" t="s">
        <v>129</v>
      </c>
      <c r="H19" s="23" t="s">
        <v>127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 x14ac:dyDescent="0.25">
      <c r="A20" s="66" t="s">
        <v>130</v>
      </c>
      <c r="B20" s="34" t="s">
        <v>38</v>
      </c>
      <c r="C20" s="36"/>
      <c r="D20" s="16" t="s">
        <v>131</v>
      </c>
      <c r="E20" s="95" t="s">
        <v>40</v>
      </c>
      <c r="F20" s="96"/>
      <c r="G20" s="17" t="s">
        <v>129</v>
      </c>
      <c r="H20" s="23" t="s">
        <v>130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66" t="s">
        <v>89</v>
      </c>
      <c r="B21" s="34" t="s">
        <v>50</v>
      </c>
      <c r="C21" s="36"/>
      <c r="D21" s="65" t="s">
        <v>90</v>
      </c>
      <c r="E21" s="95" t="s">
        <v>40</v>
      </c>
      <c r="F21" s="96"/>
      <c r="G21" s="17" t="s">
        <v>91</v>
      </c>
      <c r="H21" s="23" t="s">
        <v>89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 x14ac:dyDescent="0.25">
      <c r="A22" s="66"/>
      <c r="B22" s="34"/>
      <c r="C22" s="36"/>
      <c r="D22" s="16"/>
      <c r="E22" s="95"/>
      <c r="F22" s="96"/>
      <c r="G22" s="17"/>
      <c r="H22" s="23"/>
      <c r="I22" s="23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 x14ac:dyDescent="0.25">
      <c r="A23" s="66"/>
      <c r="B23" s="34"/>
      <c r="C23" s="36"/>
      <c r="D23" s="16"/>
      <c r="E23" s="95"/>
      <c r="F23" s="96"/>
      <c r="G23" s="17"/>
      <c r="H23" s="23"/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 x14ac:dyDescent="0.25">
      <c r="A24" s="56"/>
      <c r="B24" s="58"/>
      <c r="C24" s="59"/>
      <c r="D24" s="80"/>
      <c r="E24" s="46"/>
      <c r="F24" s="47"/>
      <c r="G24" s="17"/>
      <c r="H24" s="61"/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 x14ac:dyDescent="0.25">
      <c r="A25" s="37"/>
      <c r="B25" s="34"/>
      <c r="C25" s="36"/>
      <c r="D25" s="34"/>
      <c r="E25" s="95"/>
      <c r="F25" s="96"/>
      <c r="G25" s="17"/>
      <c r="H25" s="22"/>
      <c r="I25" s="23"/>
      <c r="J25" s="41"/>
      <c r="K25" s="12"/>
      <c r="L25" s="12"/>
      <c r="M25" s="45"/>
      <c r="N25" s="97"/>
      <c r="O25" s="98"/>
      <c r="P25" s="13"/>
      <c r="Q25" s="14"/>
      <c r="R25" s="14"/>
    </row>
    <row r="26" spans="1:18" ht="15.75" customHeight="1" outlineLevel="1" x14ac:dyDescent="0.25">
      <c r="A26" s="38" t="s">
        <v>94</v>
      </c>
      <c r="B26" s="39"/>
      <c r="C26" s="40"/>
      <c r="D26" s="9"/>
      <c r="E26" s="95"/>
      <c r="F26" s="96"/>
      <c r="G26" s="17"/>
      <c r="H26" s="25"/>
      <c r="I26" s="24"/>
      <c r="J26" s="51"/>
      <c r="K26" s="3"/>
      <c r="L26" s="3"/>
      <c r="M26" s="49"/>
      <c r="N26" s="139"/>
      <c r="O26" s="140"/>
      <c r="P26" s="4"/>
      <c r="Q26" s="14"/>
      <c r="R26" s="14"/>
    </row>
    <row r="27" spans="1:18" ht="15.75" customHeight="1" x14ac:dyDescent="0.2">
      <c r="E27" s="141"/>
      <c r="F27" s="103"/>
      <c r="G27" s="142"/>
      <c r="H27" s="119"/>
      <c r="I27" s="26"/>
      <c r="N27" s="122"/>
      <c r="O27" s="122"/>
    </row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spans="5:18" ht="15.75" customHeight="1" x14ac:dyDescent="0.2"/>
    <row r="34" spans="5:18" ht="15.75" customHeight="1" x14ac:dyDescent="0.2"/>
    <row r="35" spans="5:18" ht="15.75" customHeight="1" x14ac:dyDescent="0.2"/>
    <row r="36" spans="5:18" ht="15.75" customHeight="1" x14ac:dyDescent="0.2"/>
    <row r="37" spans="5:18" ht="15.75" customHeight="1" x14ac:dyDescent="0.2"/>
    <row r="38" spans="5:18" ht="15.75" customHeight="1" x14ac:dyDescent="0.2"/>
    <row r="39" spans="5:18" ht="15.75" customHeight="1" x14ac:dyDescent="0.2"/>
    <row r="40" spans="5:18" s="18" customFormat="1" ht="15.75" customHeight="1" x14ac:dyDescent="0.2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 x14ac:dyDescent="0.2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 x14ac:dyDescent="0.2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 x14ac:dyDescent="0.2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 x14ac:dyDescent="0.2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 x14ac:dyDescent="0.2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 x14ac:dyDescent="0.2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 x14ac:dyDescent="0.2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 x14ac:dyDescent="0.2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 x14ac:dyDescent="0.2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 x14ac:dyDescent="0.2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 x14ac:dyDescent="0.2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 x14ac:dyDescent="0.2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 x14ac:dyDescent="0.2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 x14ac:dyDescent="0.2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 x14ac:dyDescent="0.2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 x14ac:dyDescent="0.2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 x14ac:dyDescent="0.2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 x14ac:dyDescent="0.2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 x14ac:dyDescent="0.2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 x14ac:dyDescent="0.2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 x14ac:dyDescent="0.2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 x14ac:dyDescent="0.2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 x14ac:dyDescent="0.2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 x14ac:dyDescent="0.2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 x14ac:dyDescent="0.2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 x14ac:dyDescent="0.2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 x14ac:dyDescent="0.2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 x14ac:dyDescent="0.2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 x14ac:dyDescent="0.2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 x14ac:dyDescent="0.2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 x14ac:dyDescent="0.2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 x14ac:dyDescent="0.2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 x14ac:dyDescent="0.2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 x14ac:dyDescent="0.2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 x14ac:dyDescent="0.2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 x14ac:dyDescent="0.2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 x14ac:dyDescent="0.2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 x14ac:dyDescent="0.2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 x14ac:dyDescent="0.2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 x14ac:dyDescent="0.2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 x14ac:dyDescent="0.2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 x14ac:dyDescent="0.2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 x14ac:dyDescent="0.2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 x14ac:dyDescent="0.2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 x14ac:dyDescent="0.2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 x14ac:dyDescent="0.2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 x14ac:dyDescent="0.2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 x14ac:dyDescent="0.2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 x14ac:dyDescent="0.2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 x14ac:dyDescent="0.2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 x14ac:dyDescent="0.2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 x14ac:dyDescent="0.2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 x14ac:dyDescent="0.2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 x14ac:dyDescent="0.2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 x14ac:dyDescent="0.2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 x14ac:dyDescent="0.2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 x14ac:dyDescent="0.2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 x14ac:dyDescent="0.2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 x14ac:dyDescent="0.2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 x14ac:dyDescent="0.2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 x14ac:dyDescent="0.2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 x14ac:dyDescent="0.2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 x14ac:dyDescent="0.2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 x14ac:dyDescent="0.2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 x14ac:dyDescent="0.2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 x14ac:dyDescent="0.2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 x14ac:dyDescent="0.2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 x14ac:dyDescent="0.2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 x14ac:dyDescent="0.2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 x14ac:dyDescent="0.2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 x14ac:dyDescent="0.2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 x14ac:dyDescent="0.2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 x14ac:dyDescent="0.2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 x14ac:dyDescent="0.2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 x14ac:dyDescent="0.2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 x14ac:dyDescent="0.2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 x14ac:dyDescent="0.2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 x14ac:dyDescent="0.2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 x14ac:dyDescent="0.2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 x14ac:dyDescent="0.2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 x14ac:dyDescent="0.2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 x14ac:dyDescent="0.2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 x14ac:dyDescent="0.2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 x14ac:dyDescent="0.2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 x14ac:dyDescent="0.2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 x14ac:dyDescent="0.2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 x14ac:dyDescent="0.2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 x14ac:dyDescent="0.2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 x14ac:dyDescent="0.2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 x14ac:dyDescent="0.2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 x14ac:dyDescent="0.2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 x14ac:dyDescent="0.2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 x14ac:dyDescent="0.2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 x14ac:dyDescent="0.2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 x14ac:dyDescent="0.2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 x14ac:dyDescent="0.2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 x14ac:dyDescent="0.2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 x14ac:dyDescent="0.2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 x14ac:dyDescent="0.2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 x14ac:dyDescent="0.2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 x14ac:dyDescent="0.2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 x14ac:dyDescent="0.2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 x14ac:dyDescent="0.2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 x14ac:dyDescent="0.2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 x14ac:dyDescent="0.2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 x14ac:dyDescent="0.2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 x14ac:dyDescent="0.2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 x14ac:dyDescent="0.2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 x14ac:dyDescent="0.2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 x14ac:dyDescent="0.2">
      <c r="E150" s="21"/>
      <c r="F150" s="44"/>
      <c r="G150" s="27"/>
      <c r="J150"/>
      <c r="K150"/>
      <c r="L150"/>
      <c r="M150"/>
      <c r="N150"/>
      <c r="O150"/>
      <c r="P150"/>
      <c r="Q150"/>
      <c r="R150"/>
    </row>
    <row r="151" spans="5:18" s="18" customFormat="1" ht="15.75" customHeight="1" x14ac:dyDescent="0.2">
      <c r="E151" s="21"/>
      <c r="F151" s="44"/>
      <c r="G151" s="27"/>
      <c r="J151"/>
      <c r="K151"/>
      <c r="L151"/>
      <c r="M151"/>
      <c r="N151"/>
      <c r="O151"/>
      <c r="P151"/>
      <c r="Q151"/>
      <c r="R151"/>
    </row>
    <row r="152" spans="5:18" s="18" customFormat="1" ht="15.75" customHeight="1" x14ac:dyDescent="0.2">
      <c r="E152" s="21"/>
      <c r="F152" s="44"/>
      <c r="G152" s="27"/>
      <c r="J152"/>
      <c r="K152"/>
      <c r="L152"/>
      <c r="M152"/>
      <c r="N152"/>
      <c r="O152"/>
      <c r="P152"/>
      <c r="Q152"/>
      <c r="R152"/>
    </row>
    <row r="153" spans="5:18" s="18" customFormat="1" ht="15.75" customHeight="1" x14ac:dyDescent="0.2">
      <c r="E153" s="21"/>
      <c r="F153" s="44"/>
      <c r="G153" s="27"/>
      <c r="J153"/>
      <c r="K153"/>
      <c r="L153"/>
      <c r="M153"/>
      <c r="N153"/>
      <c r="O153"/>
      <c r="P153"/>
      <c r="Q153"/>
      <c r="R153"/>
    </row>
  </sheetData>
  <autoFilter ref="A8:P26" xr:uid="{00000000-0009-0000-0000-000000000000}"/>
  <mergeCells count="50">
    <mergeCell ref="E9:F9"/>
    <mergeCell ref="E27:F27"/>
    <mergeCell ref="G27:H27"/>
    <mergeCell ref="N27:O27"/>
    <mergeCell ref="E25:F25"/>
    <mergeCell ref="N25:O25"/>
    <mergeCell ref="E26:F26"/>
    <mergeCell ref="N26:O26"/>
    <mergeCell ref="E23:F23"/>
    <mergeCell ref="E18:F18"/>
    <mergeCell ref="N18:O18"/>
    <mergeCell ref="E19:F19"/>
    <mergeCell ref="E20:F20"/>
    <mergeCell ref="E21:F21"/>
    <mergeCell ref="E22:F22"/>
    <mergeCell ref="N17:O17"/>
    <mergeCell ref="E10:F10"/>
    <mergeCell ref="N10:O10"/>
    <mergeCell ref="E11:F11"/>
    <mergeCell ref="N11:O11"/>
    <mergeCell ref="E12:F12"/>
    <mergeCell ref="N12:O12"/>
    <mergeCell ref="E13:F13"/>
    <mergeCell ref="E14:F14"/>
    <mergeCell ref="E15:F15"/>
    <mergeCell ref="E16:F16"/>
    <mergeCell ref="E17:F17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10:A12 A23">
    <cfRule type="expression" dxfId="47" priority="3">
      <formula>M10 = "On Hold"</formula>
    </cfRule>
  </conditionalFormatting>
  <conditionalFormatting sqref="A15">
    <cfRule type="expression" dxfId="46" priority="4">
      <formula>M15 = "On Hold"</formula>
    </cfRule>
  </conditionalFormatting>
  <conditionalFormatting sqref="A17:A21">
    <cfRule type="expression" dxfId="45" priority="1">
      <formula>M17 = "On Hold"</formula>
    </cfRule>
  </conditionalFormatting>
  <conditionalFormatting sqref="A25:A26">
    <cfRule type="expression" dxfId="44" priority="7">
      <formula>M25 = "On Hold"</formula>
    </cfRule>
  </conditionalFormatting>
  <conditionalFormatting sqref="B2:B5 J10:P26">
    <cfRule type="cellIs" dxfId="43" priority="5" operator="equal">
      <formula>"Done"</formula>
    </cfRule>
    <cfRule type="cellIs" dxfId="42" priority="6" operator="equal">
      <formula>"On Hold"</formula>
    </cfRule>
    <cfRule type="cellIs" dxfId="41" priority="8" operator="equal">
      <formula>"Ready for Review"</formula>
    </cfRule>
    <cfRule type="cellIs" dxfId="40" priority="9" operator="equal">
      <formula>"In Review"</formula>
    </cfRule>
  </conditionalFormatting>
  <dataValidations count="7">
    <dataValidation type="list" allowBlank="1" sqref="B25:B26 B9:B23" xr:uid="{7E0D5A22-8347-4301-99CD-435C14AB416F}">
      <formula1>Data_Types</formula1>
    </dataValidation>
    <dataValidation type="list" allowBlank="1" sqref="B3 M10:M26" xr:uid="{41A58E10-917C-44F8-B8EB-CA8B21E65531}">
      <formula1>Statuses</formula1>
    </dataValidation>
    <dataValidation type="list" allowBlank="1" sqref="B4:B5" xr:uid="{1E3A2FCF-8E1B-436A-9127-638332AE3BD0}">
      <formula1>ETL_Statuses</formula1>
    </dataValidation>
    <dataValidation type="list" allowBlank="1" showErrorMessage="1" sqref="B2" xr:uid="{CA8025CD-0B8C-4FE6-A481-5BE023B22128}">
      <formula1>STT_Statuses</formula1>
    </dataValidation>
    <dataValidation type="list" allowBlank="1" sqref="E9:E26" xr:uid="{D409015B-E55D-4FE7-8E1F-4438504CE7B4}">
      <formula1>Sources</formula1>
    </dataValidation>
    <dataValidation type="list" allowBlank="1" sqref="P10:P26" xr:uid="{0685A7FB-F949-4A71-93D9-CC0147AD8080}">
      <formula1>Versions</formula1>
    </dataValidation>
    <dataValidation type="list" allowBlank="1" sqref="N10:N26" xr:uid="{20B94FA5-02DE-4CA6-B8EB-CAE064B9281E}">
      <formula1>Categories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477B-CA44-4963-9CB8-3B68DDC56625}">
  <sheetPr>
    <tabColor theme="4" tint="0.59999389629810485"/>
    <outlinePr summaryBelow="0" summaryRight="0"/>
  </sheetPr>
  <dimension ref="A1:R149"/>
  <sheetViews>
    <sheetView tabSelected="1" zoomScale="80" zoomScaleNormal="80" workbookViewId="0">
      <pane xSplit="1" ySplit="8" topLeftCell="G9" activePane="bottomRight" state="frozen"/>
      <selection pane="topRight" activeCell="B1" sqref="B1"/>
      <selection pane="bottomLeft" activeCell="A9" sqref="A9"/>
      <selection pane="bottomRight" activeCell="H36" sqref="H36"/>
    </sheetView>
  </sheetViews>
  <sheetFormatPr defaultColWidth="12.7109375" defaultRowHeight="15" customHeight="1" outlineLevelRow="1" outlineLevelCol="1" x14ac:dyDescent="0.2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268</v>
      </c>
      <c r="E3" s="105"/>
      <c r="F3" s="107" t="s">
        <v>249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62"/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x14ac:dyDescent="0.25">
      <c r="A9" s="37"/>
      <c r="B9" s="34" t="s">
        <v>38</v>
      </c>
      <c r="C9" s="36" t="e" vm="1">
        <v>#VALUE!</v>
      </c>
      <c r="D9" s="35" t="s">
        <v>250</v>
      </c>
      <c r="E9" s="95" t="s">
        <v>40</v>
      </c>
      <c r="F9" s="96"/>
      <c r="G9" s="17" t="s">
        <v>269</v>
      </c>
      <c r="H9" s="23" t="s">
        <v>270</v>
      </c>
      <c r="I9" s="23" t="s">
        <v>253</v>
      </c>
      <c r="J9" s="50"/>
      <c r="K9" s="12"/>
      <c r="L9" s="12"/>
      <c r="M9" s="52"/>
      <c r="N9" s="42"/>
      <c r="O9" s="50"/>
      <c r="P9" s="13"/>
      <c r="Q9" s="14"/>
      <c r="R9" s="14"/>
    </row>
    <row r="10" spans="1:18" ht="15.75" customHeight="1" outlineLevel="1" x14ac:dyDescent="0.25">
      <c r="A10" s="66" t="s">
        <v>271</v>
      </c>
      <c r="B10" s="34" t="s">
        <v>38</v>
      </c>
      <c r="C10" s="36" t="e" vm="1">
        <v>#VALUE!</v>
      </c>
      <c r="D10" s="34" t="s">
        <v>272</v>
      </c>
      <c r="E10" s="95" t="s">
        <v>40</v>
      </c>
      <c r="F10" s="96"/>
      <c r="G10" s="17" t="s">
        <v>269</v>
      </c>
      <c r="H10" s="23" t="s">
        <v>271</v>
      </c>
      <c r="I10" s="23"/>
      <c r="J10" s="41"/>
      <c r="K10" s="12"/>
      <c r="L10" s="12"/>
      <c r="M10" s="49"/>
      <c r="N10" s="97" t="s">
        <v>42</v>
      </c>
      <c r="O10" s="98"/>
      <c r="P10" s="13" t="s">
        <v>43</v>
      </c>
      <c r="Q10" s="14"/>
      <c r="R10" s="14"/>
    </row>
    <row r="11" spans="1:18" ht="15.75" customHeight="1" outlineLevel="1" x14ac:dyDescent="0.25">
      <c r="A11" s="66" t="s">
        <v>273</v>
      </c>
      <c r="B11" s="34" t="s">
        <v>50</v>
      </c>
      <c r="C11" s="36"/>
      <c r="D11" s="34" t="s">
        <v>258</v>
      </c>
      <c r="E11" s="95" t="s">
        <v>40</v>
      </c>
      <c r="F11" s="96"/>
      <c r="G11" s="17" t="s">
        <v>269</v>
      </c>
      <c r="H11" s="23" t="s">
        <v>273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66" t="s">
        <v>274</v>
      </c>
      <c r="B12" s="34" t="s">
        <v>38</v>
      </c>
      <c r="C12" s="36"/>
      <c r="D12" s="34" t="s">
        <v>261</v>
      </c>
      <c r="E12" s="95" t="s">
        <v>40</v>
      </c>
      <c r="F12" s="96"/>
      <c r="G12" s="17" t="s">
        <v>269</v>
      </c>
      <c r="H12" s="23" t="s">
        <v>274</v>
      </c>
      <c r="I12" s="23"/>
      <c r="J12" s="41"/>
      <c r="K12" s="12"/>
      <c r="L12" s="12"/>
      <c r="M12" s="49"/>
      <c r="N12" s="97"/>
      <c r="O12" s="98"/>
      <c r="P12" s="13"/>
      <c r="Q12" s="14"/>
      <c r="R12" s="14"/>
    </row>
    <row r="13" spans="1:18" ht="15.75" customHeight="1" outlineLevel="1" x14ac:dyDescent="0.25">
      <c r="A13" s="66" t="s">
        <v>275</v>
      </c>
      <c r="B13" s="34" t="s">
        <v>50</v>
      </c>
      <c r="C13" s="36" t="e" vm="1">
        <v>#VALUE!</v>
      </c>
      <c r="D13" s="34" t="s">
        <v>104</v>
      </c>
      <c r="E13" s="95" t="s">
        <v>40</v>
      </c>
      <c r="F13" s="96"/>
      <c r="G13" s="17" t="s">
        <v>269</v>
      </c>
      <c r="H13" s="23" t="s">
        <v>275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66" t="s">
        <v>276</v>
      </c>
      <c r="B14" s="34" t="s">
        <v>38</v>
      </c>
      <c r="C14" s="36"/>
      <c r="D14" s="34" t="s">
        <v>277</v>
      </c>
      <c r="E14" s="95" t="s">
        <v>40</v>
      </c>
      <c r="F14" s="96"/>
      <c r="G14" s="17" t="s">
        <v>269</v>
      </c>
      <c r="H14" s="23" t="s">
        <v>276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66" t="s">
        <v>87</v>
      </c>
      <c r="B15" s="34" t="s">
        <v>38</v>
      </c>
      <c r="C15" s="36"/>
      <c r="D15" s="34" t="s">
        <v>88</v>
      </c>
      <c r="E15" s="95" t="s">
        <v>40</v>
      </c>
      <c r="F15" s="96"/>
      <c r="G15" s="17" t="s">
        <v>86</v>
      </c>
      <c r="H15" s="17" t="s">
        <v>87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66" t="s">
        <v>84</v>
      </c>
      <c r="B16" s="34" t="s">
        <v>50</v>
      </c>
      <c r="C16" s="36"/>
      <c r="D16" s="34" t="s">
        <v>267</v>
      </c>
      <c r="E16" s="95" t="s">
        <v>40</v>
      </c>
      <c r="F16" s="96"/>
      <c r="G16" s="17" t="s">
        <v>86</v>
      </c>
      <c r="H16" s="23" t="s">
        <v>84</v>
      </c>
      <c r="I16" s="23"/>
      <c r="J16" s="41"/>
      <c r="K16" s="12"/>
      <c r="L16" s="12"/>
      <c r="M16" s="49"/>
      <c r="N16" s="97"/>
      <c r="O16" s="98"/>
      <c r="P16" s="13"/>
      <c r="Q16" s="14"/>
      <c r="R16" s="14"/>
    </row>
    <row r="17" spans="1:18" ht="15.75" customHeight="1" outlineLevel="1" x14ac:dyDescent="0.25">
      <c r="A17" s="66" t="s">
        <v>122</v>
      </c>
      <c r="B17" s="34" t="s">
        <v>38</v>
      </c>
      <c r="C17" s="36"/>
      <c r="D17" s="16" t="s">
        <v>123</v>
      </c>
      <c r="E17" s="95" t="s">
        <v>40</v>
      </c>
      <c r="F17" s="96"/>
      <c r="G17" s="17" t="s">
        <v>124</v>
      </c>
      <c r="H17" s="23" t="s">
        <v>122</v>
      </c>
      <c r="I17" s="23"/>
      <c r="J17" s="41"/>
      <c r="K17" s="12"/>
      <c r="L17" s="12"/>
      <c r="M17" s="49"/>
      <c r="N17" s="97"/>
      <c r="O17" s="98"/>
      <c r="P17" s="13"/>
      <c r="Q17" s="14"/>
      <c r="R17" s="14"/>
    </row>
    <row r="18" spans="1:18" ht="15.75" customHeight="1" outlineLevel="1" x14ac:dyDescent="0.25">
      <c r="A18" s="66" t="s">
        <v>125</v>
      </c>
      <c r="B18" s="34" t="s">
        <v>72</v>
      </c>
      <c r="C18" s="36"/>
      <c r="D18" s="16" t="s">
        <v>126</v>
      </c>
      <c r="E18" s="95" t="s">
        <v>40</v>
      </c>
      <c r="F18" s="96"/>
      <c r="G18" s="17" t="s">
        <v>124</v>
      </c>
      <c r="H18" s="23" t="s">
        <v>125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 x14ac:dyDescent="0.25">
      <c r="A19" s="66" t="s">
        <v>89</v>
      </c>
      <c r="B19" s="34" t="s">
        <v>50</v>
      </c>
      <c r="C19" s="36"/>
      <c r="D19" s="65" t="s">
        <v>90</v>
      </c>
      <c r="E19" s="95" t="s">
        <v>40</v>
      </c>
      <c r="F19" s="96"/>
      <c r="G19" s="17" t="s">
        <v>91</v>
      </c>
      <c r="H19" s="23" t="s">
        <v>89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 x14ac:dyDescent="0.25">
      <c r="A20" s="56"/>
      <c r="B20" s="63"/>
      <c r="C20" s="57"/>
      <c r="D20" s="67"/>
      <c r="E20" s="95"/>
      <c r="F20" s="96"/>
      <c r="G20" s="17"/>
      <c r="H20" s="60"/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37"/>
      <c r="B21" s="34"/>
      <c r="C21" s="36"/>
      <c r="D21" s="34"/>
      <c r="E21" s="95"/>
      <c r="F21" s="96"/>
      <c r="G21" s="17"/>
      <c r="H21" s="22"/>
      <c r="I21" s="23"/>
      <c r="J21" s="41"/>
      <c r="K21" s="12"/>
      <c r="L21" s="12"/>
      <c r="M21" s="45"/>
      <c r="N21" s="97"/>
      <c r="O21" s="98"/>
      <c r="P21" s="13"/>
      <c r="Q21" s="14"/>
      <c r="R21" s="14"/>
    </row>
    <row r="22" spans="1:18" ht="15.75" customHeight="1" outlineLevel="1" x14ac:dyDescent="0.25">
      <c r="A22" s="38" t="s">
        <v>94</v>
      </c>
      <c r="B22" s="39"/>
      <c r="C22" s="40"/>
      <c r="D22" s="9"/>
      <c r="E22" s="95"/>
      <c r="F22" s="96"/>
      <c r="G22" s="17"/>
      <c r="H22" s="25"/>
      <c r="I22" s="24"/>
      <c r="J22" s="51"/>
      <c r="K22" s="3"/>
      <c r="L22" s="3"/>
      <c r="M22" s="49"/>
      <c r="N22" s="139"/>
      <c r="O22" s="140"/>
      <c r="P22" s="4"/>
      <c r="Q22" s="14"/>
      <c r="R22" s="14"/>
    </row>
    <row r="23" spans="1:18" ht="15.75" customHeight="1" x14ac:dyDescent="0.2">
      <c r="E23" s="141"/>
      <c r="F23" s="103"/>
      <c r="G23" s="142"/>
      <c r="H23" s="119"/>
      <c r="I23" s="26"/>
      <c r="N23" s="122"/>
      <c r="O23" s="122"/>
    </row>
    <row r="24" spans="1:18" ht="15.75" customHeight="1" x14ac:dyDescent="0.2"/>
    <row r="25" spans="1:18" ht="15.75" customHeight="1" x14ac:dyDescent="0.2"/>
    <row r="26" spans="1:18" ht="15.75" customHeight="1" x14ac:dyDescent="0.2"/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spans="5:18" ht="15.75" customHeight="1" x14ac:dyDescent="0.2"/>
    <row r="34" spans="5:18" ht="15.75" customHeight="1" x14ac:dyDescent="0.2"/>
    <row r="35" spans="5:18" ht="15.75" customHeight="1" x14ac:dyDescent="0.2"/>
    <row r="36" spans="5:18" s="18" customFormat="1" ht="15.75" customHeight="1" x14ac:dyDescent="0.2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 x14ac:dyDescent="0.2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 x14ac:dyDescent="0.2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 x14ac:dyDescent="0.2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 x14ac:dyDescent="0.2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 x14ac:dyDescent="0.2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 x14ac:dyDescent="0.2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 x14ac:dyDescent="0.2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 x14ac:dyDescent="0.2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 x14ac:dyDescent="0.2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 x14ac:dyDescent="0.2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 x14ac:dyDescent="0.2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 x14ac:dyDescent="0.2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 x14ac:dyDescent="0.2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 x14ac:dyDescent="0.2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 x14ac:dyDescent="0.2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 x14ac:dyDescent="0.2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 x14ac:dyDescent="0.2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 x14ac:dyDescent="0.2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 x14ac:dyDescent="0.2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 x14ac:dyDescent="0.2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 x14ac:dyDescent="0.2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 x14ac:dyDescent="0.2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 x14ac:dyDescent="0.2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 x14ac:dyDescent="0.2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 x14ac:dyDescent="0.2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 x14ac:dyDescent="0.2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 x14ac:dyDescent="0.2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 x14ac:dyDescent="0.2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 x14ac:dyDescent="0.2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 x14ac:dyDescent="0.2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 x14ac:dyDescent="0.2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 x14ac:dyDescent="0.2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 x14ac:dyDescent="0.2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 x14ac:dyDescent="0.2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 x14ac:dyDescent="0.2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 x14ac:dyDescent="0.2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 x14ac:dyDescent="0.2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 x14ac:dyDescent="0.2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 x14ac:dyDescent="0.2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 x14ac:dyDescent="0.2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 x14ac:dyDescent="0.2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 x14ac:dyDescent="0.2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 x14ac:dyDescent="0.2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 x14ac:dyDescent="0.2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 x14ac:dyDescent="0.2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 x14ac:dyDescent="0.2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 x14ac:dyDescent="0.2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 x14ac:dyDescent="0.2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 x14ac:dyDescent="0.2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 x14ac:dyDescent="0.2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 x14ac:dyDescent="0.2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 x14ac:dyDescent="0.2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 x14ac:dyDescent="0.2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 x14ac:dyDescent="0.2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 x14ac:dyDescent="0.2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 x14ac:dyDescent="0.2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 x14ac:dyDescent="0.2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 x14ac:dyDescent="0.2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 x14ac:dyDescent="0.2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 x14ac:dyDescent="0.2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 x14ac:dyDescent="0.2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 x14ac:dyDescent="0.2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 x14ac:dyDescent="0.2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 x14ac:dyDescent="0.2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 x14ac:dyDescent="0.2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 x14ac:dyDescent="0.2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 x14ac:dyDescent="0.2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 x14ac:dyDescent="0.2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 x14ac:dyDescent="0.2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 x14ac:dyDescent="0.2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 x14ac:dyDescent="0.2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 x14ac:dyDescent="0.2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 x14ac:dyDescent="0.2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 x14ac:dyDescent="0.2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 x14ac:dyDescent="0.2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 x14ac:dyDescent="0.2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 x14ac:dyDescent="0.2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 x14ac:dyDescent="0.2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 x14ac:dyDescent="0.2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 x14ac:dyDescent="0.2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 x14ac:dyDescent="0.2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 x14ac:dyDescent="0.2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 x14ac:dyDescent="0.2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 x14ac:dyDescent="0.2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 x14ac:dyDescent="0.2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 x14ac:dyDescent="0.2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 x14ac:dyDescent="0.2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 x14ac:dyDescent="0.2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 x14ac:dyDescent="0.2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 x14ac:dyDescent="0.2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 x14ac:dyDescent="0.2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 x14ac:dyDescent="0.2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 x14ac:dyDescent="0.2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 x14ac:dyDescent="0.2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 x14ac:dyDescent="0.2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 x14ac:dyDescent="0.2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 x14ac:dyDescent="0.2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 x14ac:dyDescent="0.2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 x14ac:dyDescent="0.2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 x14ac:dyDescent="0.2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 x14ac:dyDescent="0.2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 x14ac:dyDescent="0.2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 x14ac:dyDescent="0.2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 x14ac:dyDescent="0.2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 x14ac:dyDescent="0.2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 x14ac:dyDescent="0.2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 x14ac:dyDescent="0.2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 x14ac:dyDescent="0.2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 x14ac:dyDescent="0.2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 x14ac:dyDescent="0.2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 x14ac:dyDescent="0.2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 x14ac:dyDescent="0.2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 x14ac:dyDescent="0.2">
      <c r="E149" s="21"/>
      <c r="F149" s="44"/>
      <c r="G149" s="27"/>
      <c r="J149"/>
      <c r="K149"/>
      <c r="L149"/>
      <c r="M149"/>
      <c r="N149"/>
      <c r="O149"/>
      <c r="P149"/>
      <c r="Q149"/>
      <c r="R149"/>
    </row>
  </sheetData>
  <autoFilter ref="A8:P22" xr:uid="{00000000-0009-0000-0000-000000000000}"/>
  <mergeCells count="47">
    <mergeCell ref="E9:F9"/>
    <mergeCell ref="E21:F21"/>
    <mergeCell ref="N21:O21"/>
    <mergeCell ref="E22:F22"/>
    <mergeCell ref="N22:O22"/>
    <mergeCell ref="E13:F13"/>
    <mergeCell ref="E14:F14"/>
    <mergeCell ref="E15:F15"/>
    <mergeCell ref="E16:F16"/>
    <mergeCell ref="N16:O16"/>
    <mergeCell ref="E10:F10"/>
    <mergeCell ref="N10:O10"/>
    <mergeCell ref="E11:F11"/>
    <mergeCell ref="N11:O11"/>
    <mergeCell ref="E12:F12"/>
    <mergeCell ref="N12:O12"/>
    <mergeCell ref="E23:F23"/>
    <mergeCell ref="G23:H23"/>
    <mergeCell ref="N23:O23"/>
    <mergeCell ref="E17:F17"/>
    <mergeCell ref="N17:O17"/>
    <mergeCell ref="E18:F18"/>
    <mergeCell ref="E19:F19"/>
    <mergeCell ref="E20:F20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10:A12">
    <cfRule type="expression" dxfId="39" priority="2">
      <formula>M10 = "On Hold"</formula>
    </cfRule>
  </conditionalFormatting>
  <conditionalFormatting sqref="A16:A19">
    <cfRule type="expression" dxfId="38" priority="1">
      <formula>M16 = "On Hold"</formula>
    </cfRule>
  </conditionalFormatting>
  <conditionalFormatting sqref="A21:A22">
    <cfRule type="expression" dxfId="37" priority="6">
      <formula>M21 = "On Hold"</formula>
    </cfRule>
  </conditionalFormatting>
  <conditionalFormatting sqref="B2:B5 J10:P22">
    <cfRule type="cellIs" dxfId="36" priority="4" operator="equal">
      <formula>"Done"</formula>
    </cfRule>
    <cfRule type="cellIs" dxfId="35" priority="5" operator="equal">
      <formula>"On Hold"</formula>
    </cfRule>
    <cfRule type="cellIs" dxfId="34" priority="7" operator="equal">
      <formula>"Ready for Review"</formula>
    </cfRule>
    <cfRule type="cellIs" dxfId="33" priority="8" operator="equal">
      <formula>"In Review"</formula>
    </cfRule>
  </conditionalFormatting>
  <dataValidations count="7">
    <dataValidation type="list" allowBlank="1" showErrorMessage="1" sqref="B2" xr:uid="{2F70F731-185A-45FF-B475-753B3BC7C90B}">
      <formula1>STT_Statuses</formula1>
    </dataValidation>
    <dataValidation type="list" allowBlank="1" sqref="B4:B5" xr:uid="{75368FB6-CC7C-4F2B-9904-8985C606C5B9}">
      <formula1>ETL_Statuses</formula1>
    </dataValidation>
    <dataValidation type="list" allowBlank="1" sqref="B3 M10:M22" xr:uid="{BA35A64A-C6AD-4024-BDB7-E8E57136DDE3}">
      <formula1>Statuses</formula1>
    </dataValidation>
    <dataValidation type="list" allowBlank="1" sqref="B9:B22" xr:uid="{D9A008CD-E36A-4733-AD1C-E55D4C8CDAFB}">
      <formula1>Data_Types</formula1>
    </dataValidation>
    <dataValidation type="list" allowBlank="1" sqref="N10:N22" xr:uid="{CCA1890D-D09A-42D5-852E-9AC87BEF44D0}">
      <formula1>Categories</formula1>
    </dataValidation>
    <dataValidation type="list" allowBlank="1" sqref="P10:P22" xr:uid="{01C062FD-4FA5-49EA-9D13-6872F79B8157}">
      <formula1>Versions</formula1>
    </dataValidation>
    <dataValidation type="list" allowBlank="1" sqref="E9:E22" xr:uid="{B106FF8F-C82C-42AC-A757-C43092E0ACF2}">
      <formula1>Sources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2B92-AF59-4B2F-A87D-9D0CFF572B34}">
  <sheetPr>
    <tabColor theme="4" tint="0.59999389629810485"/>
    <outlinePr summaryBelow="0" summaryRight="0"/>
  </sheetPr>
  <dimension ref="A1:R145"/>
  <sheetViews>
    <sheetView zoomScale="110" zoomScaleNormal="11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9" sqref="A9:A14"/>
    </sheetView>
  </sheetViews>
  <sheetFormatPr defaultColWidth="12.7109375" defaultRowHeight="15" customHeight="1" outlineLevelRow="1" outlineLevelCol="1" x14ac:dyDescent="0.2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/>
      <c r="E3" s="105"/>
      <c r="F3" s="107" t="s">
        <v>278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279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62"/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70" t="s">
        <v>280</v>
      </c>
      <c r="B9" s="70" t="s">
        <v>50</v>
      </c>
      <c r="C9" s="36"/>
      <c r="D9" s="16" t="s">
        <v>245</v>
      </c>
      <c r="E9" s="99" t="s">
        <v>279</v>
      </c>
      <c r="F9" s="100"/>
      <c r="G9" s="17" t="s">
        <v>281</v>
      </c>
      <c r="H9" s="61" t="s">
        <v>280</v>
      </c>
      <c r="I9" s="23"/>
      <c r="J9" s="41"/>
      <c r="K9" s="12"/>
      <c r="L9" s="12"/>
      <c r="M9" s="49"/>
      <c r="N9" s="97"/>
      <c r="O9" s="98"/>
      <c r="P9" s="13"/>
      <c r="Q9" s="14"/>
      <c r="R9" s="14"/>
    </row>
    <row r="10" spans="1:18" ht="15.75" customHeight="1" outlineLevel="1" x14ac:dyDescent="0.25">
      <c r="A10" s="70" t="s">
        <v>282</v>
      </c>
      <c r="B10" s="70" t="s">
        <v>72</v>
      </c>
      <c r="C10" s="36"/>
      <c r="D10" s="86" t="s">
        <v>283</v>
      </c>
      <c r="E10" s="99" t="s">
        <v>279</v>
      </c>
      <c r="F10" s="100"/>
      <c r="G10" s="17" t="s">
        <v>281</v>
      </c>
      <c r="H10" s="23" t="s">
        <v>282</v>
      </c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 x14ac:dyDescent="0.25">
      <c r="A11" s="70" t="s">
        <v>284</v>
      </c>
      <c r="B11" s="70" t="s">
        <v>38</v>
      </c>
      <c r="C11" s="36"/>
      <c r="D11" s="16" t="s">
        <v>285</v>
      </c>
      <c r="E11" s="99" t="s">
        <v>279</v>
      </c>
      <c r="F11" s="100"/>
      <c r="G11" s="17" t="s">
        <v>281</v>
      </c>
      <c r="H11" s="61" t="s">
        <v>284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70" t="s">
        <v>246</v>
      </c>
      <c r="B12" s="70" t="s">
        <v>38</v>
      </c>
      <c r="C12" s="36"/>
      <c r="D12" s="16" t="s">
        <v>286</v>
      </c>
      <c r="E12" s="99" t="s">
        <v>279</v>
      </c>
      <c r="F12" s="100"/>
      <c r="G12" s="17" t="s">
        <v>281</v>
      </c>
      <c r="H12" s="61" t="s">
        <v>246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 x14ac:dyDescent="0.25">
      <c r="A13" s="70" t="s">
        <v>287</v>
      </c>
      <c r="B13" s="70" t="s">
        <v>38</v>
      </c>
      <c r="C13" s="36"/>
      <c r="D13" s="16" t="s">
        <v>288</v>
      </c>
      <c r="E13" s="99" t="s">
        <v>279</v>
      </c>
      <c r="F13" s="100"/>
      <c r="G13" s="17" t="s">
        <v>281</v>
      </c>
      <c r="H13" s="61" t="s">
        <v>287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70" t="s">
        <v>289</v>
      </c>
      <c r="B14" s="70" t="s">
        <v>72</v>
      </c>
      <c r="C14" s="36"/>
      <c r="D14" s="16" t="s">
        <v>290</v>
      </c>
      <c r="E14" s="99" t="s">
        <v>279</v>
      </c>
      <c r="F14" s="100"/>
      <c r="G14" s="17" t="s">
        <v>281</v>
      </c>
      <c r="H14" s="61" t="s">
        <v>289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 x14ac:dyDescent="0.25">
      <c r="A15" s="66"/>
      <c r="B15" s="34"/>
      <c r="C15" s="36"/>
      <c r="D15" s="16"/>
      <c r="E15" s="95"/>
      <c r="F15" s="96"/>
      <c r="G15" s="17"/>
      <c r="H15" s="23"/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 x14ac:dyDescent="0.25">
      <c r="A16" s="56"/>
      <c r="B16" s="58"/>
      <c r="C16" s="59"/>
      <c r="D16" s="80"/>
      <c r="E16" s="46"/>
      <c r="F16" s="47"/>
      <c r="G16" s="17"/>
      <c r="H16" s="61"/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 x14ac:dyDescent="0.25">
      <c r="A17" s="37"/>
      <c r="B17" s="34"/>
      <c r="C17" s="36"/>
      <c r="D17" s="34"/>
      <c r="E17" s="95"/>
      <c r="F17" s="96"/>
      <c r="G17" s="17"/>
      <c r="H17" s="22"/>
      <c r="I17" s="23"/>
      <c r="J17" s="41"/>
      <c r="K17" s="12"/>
      <c r="L17" s="12"/>
      <c r="M17" s="45"/>
      <c r="N17" s="97"/>
      <c r="O17" s="98"/>
      <c r="P17" s="13"/>
      <c r="Q17" s="14"/>
      <c r="R17" s="14"/>
    </row>
    <row r="18" spans="1:18" ht="15.75" customHeight="1" outlineLevel="1" x14ac:dyDescent="0.25">
      <c r="A18" s="38" t="s">
        <v>94</v>
      </c>
      <c r="B18" s="39"/>
      <c r="C18" s="40"/>
      <c r="D18" s="9"/>
      <c r="E18" s="95"/>
      <c r="F18" s="96"/>
      <c r="G18" s="17"/>
      <c r="H18" s="25"/>
      <c r="I18" s="24"/>
      <c r="J18" s="51"/>
      <c r="K18" s="3"/>
      <c r="L18" s="3"/>
      <c r="M18" s="49"/>
      <c r="N18" s="139"/>
      <c r="O18" s="140"/>
      <c r="P18" s="4"/>
      <c r="Q18" s="14"/>
      <c r="R18" s="14"/>
    </row>
    <row r="19" spans="1:18" ht="15.75" customHeight="1" x14ac:dyDescent="0.2">
      <c r="E19" s="141"/>
      <c r="F19" s="103"/>
      <c r="G19" s="142"/>
      <c r="H19" s="119"/>
      <c r="I19" s="26"/>
      <c r="N19" s="122"/>
      <c r="O19" s="122"/>
    </row>
    <row r="20" spans="1:18" ht="15.75" customHeight="1" x14ac:dyDescent="0.2"/>
    <row r="21" spans="1:18" ht="15.75" customHeight="1" x14ac:dyDescent="0.2"/>
    <row r="22" spans="1:18" ht="15.75" customHeight="1" x14ac:dyDescent="0.2"/>
    <row r="23" spans="1:18" ht="15.75" customHeight="1" x14ac:dyDescent="0.2"/>
    <row r="24" spans="1:18" ht="15.75" customHeight="1" x14ac:dyDescent="0.2"/>
    <row r="25" spans="1:18" ht="15.75" customHeight="1" x14ac:dyDescent="0.2"/>
    <row r="26" spans="1:18" ht="15.75" customHeight="1" x14ac:dyDescent="0.2"/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s="18" customFormat="1" ht="15.75" customHeight="1" x14ac:dyDescent="0.2">
      <c r="E32" s="21"/>
      <c r="F32" s="44"/>
      <c r="G32" s="27"/>
      <c r="J32"/>
      <c r="K32"/>
      <c r="L32"/>
      <c r="M32"/>
      <c r="N32"/>
      <c r="O32"/>
      <c r="P32"/>
      <c r="Q32"/>
      <c r="R32"/>
    </row>
    <row r="33" spans="5:18" s="18" customFormat="1" ht="15.75" customHeight="1" x14ac:dyDescent="0.2">
      <c r="E33" s="21"/>
      <c r="F33" s="44"/>
      <c r="G33" s="27"/>
      <c r="J33"/>
      <c r="K33"/>
      <c r="L33"/>
      <c r="M33"/>
      <c r="N33"/>
      <c r="O33"/>
      <c r="P33"/>
      <c r="Q33"/>
      <c r="R33"/>
    </row>
    <row r="34" spans="5:18" s="18" customFormat="1" ht="15.75" customHeight="1" x14ac:dyDescent="0.2">
      <c r="E34" s="21"/>
      <c r="F34" s="44"/>
      <c r="G34" s="27"/>
      <c r="J34"/>
      <c r="K34"/>
      <c r="L34"/>
      <c r="M34"/>
      <c r="N34"/>
      <c r="O34"/>
      <c r="P34"/>
      <c r="Q34"/>
      <c r="R34"/>
    </row>
    <row r="35" spans="5:18" s="18" customFormat="1" ht="15.75" customHeight="1" x14ac:dyDescent="0.2">
      <c r="E35" s="21"/>
      <c r="F35" s="44"/>
      <c r="G35" s="27"/>
      <c r="J35"/>
      <c r="K35"/>
      <c r="L35"/>
      <c r="M35"/>
      <c r="N35"/>
      <c r="O35"/>
      <c r="P35"/>
      <c r="Q35"/>
      <c r="R35"/>
    </row>
    <row r="36" spans="5:18" s="18" customFormat="1" ht="15.75" customHeight="1" x14ac:dyDescent="0.2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 x14ac:dyDescent="0.2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 x14ac:dyDescent="0.2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 x14ac:dyDescent="0.2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 x14ac:dyDescent="0.2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 x14ac:dyDescent="0.2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 x14ac:dyDescent="0.2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 x14ac:dyDescent="0.2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 x14ac:dyDescent="0.2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 x14ac:dyDescent="0.2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 x14ac:dyDescent="0.2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 x14ac:dyDescent="0.2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 x14ac:dyDescent="0.2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 x14ac:dyDescent="0.2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 x14ac:dyDescent="0.2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 x14ac:dyDescent="0.2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 x14ac:dyDescent="0.2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 x14ac:dyDescent="0.2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 x14ac:dyDescent="0.2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 x14ac:dyDescent="0.2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 x14ac:dyDescent="0.2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 x14ac:dyDescent="0.2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 x14ac:dyDescent="0.2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 x14ac:dyDescent="0.2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 x14ac:dyDescent="0.2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 x14ac:dyDescent="0.2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 x14ac:dyDescent="0.2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 x14ac:dyDescent="0.2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 x14ac:dyDescent="0.2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 x14ac:dyDescent="0.2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 x14ac:dyDescent="0.2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 x14ac:dyDescent="0.2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 x14ac:dyDescent="0.2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 x14ac:dyDescent="0.2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 x14ac:dyDescent="0.2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 x14ac:dyDescent="0.2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 x14ac:dyDescent="0.2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 x14ac:dyDescent="0.2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 x14ac:dyDescent="0.2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 x14ac:dyDescent="0.2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 x14ac:dyDescent="0.2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 x14ac:dyDescent="0.2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 x14ac:dyDescent="0.2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 x14ac:dyDescent="0.2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 x14ac:dyDescent="0.2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 x14ac:dyDescent="0.2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 x14ac:dyDescent="0.2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 x14ac:dyDescent="0.2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 x14ac:dyDescent="0.2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 x14ac:dyDescent="0.2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 x14ac:dyDescent="0.2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 x14ac:dyDescent="0.2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 x14ac:dyDescent="0.2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 x14ac:dyDescent="0.2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 x14ac:dyDescent="0.2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 x14ac:dyDescent="0.2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 x14ac:dyDescent="0.2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 x14ac:dyDescent="0.2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 x14ac:dyDescent="0.2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 x14ac:dyDescent="0.2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 x14ac:dyDescent="0.2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 x14ac:dyDescent="0.2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 x14ac:dyDescent="0.2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 x14ac:dyDescent="0.2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 x14ac:dyDescent="0.2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 x14ac:dyDescent="0.2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 x14ac:dyDescent="0.2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 x14ac:dyDescent="0.2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 x14ac:dyDescent="0.2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 x14ac:dyDescent="0.2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 x14ac:dyDescent="0.2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 x14ac:dyDescent="0.2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 x14ac:dyDescent="0.2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 x14ac:dyDescent="0.2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 x14ac:dyDescent="0.2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 x14ac:dyDescent="0.2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 x14ac:dyDescent="0.2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 x14ac:dyDescent="0.2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 x14ac:dyDescent="0.2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 x14ac:dyDescent="0.2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 x14ac:dyDescent="0.2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 x14ac:dyDescent="0.2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 x14ac:dyDescent="0.2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 x14ac:dyDescent="0.2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 x14ac:dyDescent="0.2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 x14ac:dyDescent="0.2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 x14ac:dyDescent="0.2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 x14ac:dyDescent="0.2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 x14ac:dyDescent="0.2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 x14ac:dyDescent="0.2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 x14ac:dyDescent="0.2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 x14ac:dyDescent="0.2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 x14ac:dyDescent="0.2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 x14ac:dyDescent="0.2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 x14ac:dyDescent="0.2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 x14ac:dyDescent="0.2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 x14ac:dyDescent="0.2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 x14ac:dyDescent="0.2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 x14ac:dyDescent="0.2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 x14ac:dyDescent="0.2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 x14ac:dyDescent="0.2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 x14ac:dyDescent="0.2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 x14ac:dyDescent="0.2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 x14ac:dyDescent="0.2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 x14ac:dyDescent="0.2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 x14ac:dyDescent="0.2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 x14ac:dyDescent="0.2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 x14ac:dyDescent="0.2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 x14ac:dyDescent="0.2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 x14ac:dyDescent="0.2">
      <c r="E145" s="21"/>
      <c r="F145" s="44"/>
      <c r="G145" s="27"/>
      <c r="J145"/>
      <c r="K145"/>
      <c r="L145"/>
      <c r="M145"/>
      <c r="N145"/>
      <c r="O145"/>
      <c r="P145"/>
      <c r="Q145"/>
      <c r="R145"/>
    </row>
  </sheetData>
  <autoFilter ref="A8:P18" xr:uid="{00000000-0009-0000-0000-000000000000}"/>
  <mergeCells count="39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E9:F9"/>
    <mergeCell ref="N9:O9"/>
    <mergeCell ref="B7:D7"/>
    <mergeCell ref="E7:I7"/>
    <mergeCell ref="J7:L7"/>
    <mergeCell ref="N7:P7"/>
    <mergeCell ref="E8:F8"/>
    <mergeCell ref="N8:O8"/>
    <mergeCell ref="E10:F10"/>
    <mergeCell ref="E15:F15"/>
    <mergeCell ref="E17:F17"/>
    <mergeCell ref="N17:O17"/>
    <mergeCell ref="E18:F18"/>
    <mergeCell ref="N18:O18"/>
    <mergeCell ref="E19:F19"/>
    <mergeCell ref="G19:H19"/>
    <mergeCell ref="N19:O19"/>
    <mergeCell ref="E11:F11"/>
    <mergeCell ref="N11:O11"/>
    <mergeCell ref="E12:F12"/>
    <mergeCell ref="E13:F13"/>
    <mergeCell ref="E14:F14"/>
  </mergeCells>
  <conditionalFormatting sqref="A15">
    <cfRule type="expression" dxfId="32" priority="2">
      <formula>M15 = "On Hold"</formula>
    </cfRule>
  </conditionalFormatting>
  <conditionalFormatting sqref="A17:A18">
    <cfRule type="expression" dxfId="31" priority="6">
      <formula>M17 = "On Hold"</formula>
    </cfRule>
  </conditionalFormatting>
  <conditionalFormatting sqref="B2:B5 J9:P18">
    <cfRule type="cellIs" dxfId="30" priority="4" operator="equal">
      <formula>"Done"</formula>
    </cfRule>
    <cfRule type="cellIs" dxfId="29" priority="5" operator="equal">
      <formula>"On Hold"</formula>
    </cfRule>
    <cfRule type="cellIs" dxfId="28" priority="7" operator="equal">
      <formula>"Ready for Review"</formula>
    </cfRule>
    <cfRule type="cellIs" dxfId="27" priority="8" operator="equal">
      <formula>"In Review"</formula>
    </cfRule>
  </conditionalFormatting>
  <dataValidations count="7">
    <dataValidation type="list" allowBlank="1" sqref="E15:E18" xr:uid="{7BD91965-148B-419F-A430-CAFC757F81D2}">
      <formula1>Sources</formula1>
    </dataValidation>
    <dataValidation type="list" allowBlank="1" showErrorMessage="1" sqref="B2" xr:uid="{B2D512FD-F979-49E4-BA87-509E1B0BF88D}">
      <formula1>STT_Statuses</formula1>
    </dataValidation>
    <dataValidation type="list" allowBlank="1" sqref="B4:B5" xr:uid="{D49DE922-0C9B-40AB-9827-073A1D28F08E}">
      <formula1>ETL_Statuses</formula1>
    </dataValidation>
    <dataValidation type="list" allowBlank="1" sqref="B3 M9:M18" xr:uid="{A1DF3375-46EA-4812-8005-1D49C75D0A23}">
      <formula1>Statuses</formula1>
    </dataValidation>
    <dataValidation type="list" allowBlank="1" sqref="B17:B18 B10 B15" xr:uid="{787516EB-D03E-4106-9A13-3056EA9023DB}">
      <formula1>Data_Types</formula1>
    </dataValidation>
    <dataValidation type="list" allowBlank="1" sqref="N9:N18" xr:uid="{7BEA8BA5-379F-4D2F-9405-BD859D8C7DCA}">
      <formula1>Categories</formula1>
    </dataValidation>
    <dataValidation type="list" allowBlank="1" sqref="P9:P18" xr:uid="{44166256-F8CF-4D28-A3A1-38621FB07950}">
      <formula1>Versions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3C58-14AF-478A-850F-B427C71B4781}">
  <sheetPr>
    <tabColor theme="6" tint="0.59999389629810485"/>
    <outlinePr summaryBelow="0" summaryRight="0"/>
  </sheetPr>
  <dimension ref="A1:R145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3" sqref="D3:D5"/>
    </sheetView>
  </sheetViews>
  <sheetFormatPr defaultColWidth="12.7109375" defaultRowHeight="15" customHeight="1" outlineLevelRow="1" outlineLevelCol="1" x14ac:dyDescent="0.2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01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291</v>
      </c>
      <c r="E3" s="105"/>
      <c r="F3" s="107" t="s">
        <v>292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01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01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01"/>
      <c r="R5" s="101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11"/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37" t="s">
        <v>122</v>
      </c>
      <c r="B9" s="34" t="s">
        <v>50</v>
      </c>
      <c r="C9" s="36" t="e" vm="1">
        <v>#VALUE!</v>
      </c>
      <c r="D9" s="34" t="s">
        <v>293</v>
      </c>
      <c r="E9" s="95" t="s">
        <v>40</v>
      </c>
      <c r="F9" s="96"/>
      <c r="G9" s="17" t="s">
        <v>124</v>
      </c>
      <c r="H9" s="17" t="s">
        <v>122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37" t="s">
        <v>125</v>
      </c>
      <c r="B10" s="34" t="s">
        <v>38</v>
      </c>
      <c r="C10" s="36"/>
      <c r="D10" s="16" t="s">
        <v>294</v>
      </c>
      <c r="E10" s="95" t="s">
        <v>40</v>
      </c>
      <c r="F10" s="96"/>
      <c r="G10" s="17" t="s">
        <v>124</v>
      </c>
      <c r="H10" s="22" t="s">
        <v>125</v>
      </c>
      <c r="I10" s="17"/>
      <c r="J10" s="41"/>
      <c r="K10" s="12"/>
      <c r="L10" s="12"/>
      <c r="M10" s="49"/>
      <c r="N10" s="97"/>
      <c r="O10" s="98"/>
      <c r="P10" s="13"/>
      <c r="Q10" s="14"/>
      <c r="R10" s="14"/>
    </row>
    <row r="11" spans="1:18" ht="15.75" customHeight="1" outlineLevel="1" x14ac:dyDescent="0.25">
      <c r="A11" s="37" t="s">
        <v>295</v>
      </c>
      <c r="B11" s="34" t="s">
        <v>38</v>
      </c>
      <c r="C11" s="36"/>
      <c r="D11" s="34" t="s">
        <v>296</v>
      </c>
      <c r="E11" s="95" t="s">
        <v>40</v>
      </c>
      <c r="F11" s="96"/>
      <c r="G11" s="17" t="s">
        <v>124</v>
      </c>
      <c r="H11" s="17" t="s">
        <v>295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37" t="s">
        <v>297</v>
      </c>
      <c r="B12" s="34" t="s">
        <v>38</v>
      </c>
      <c r="C12" s="36"/>
      <c r="D12" s="34" t="s">
        <v>298</v>
      </c>
      <c r="E12" s="95" t="s">
        <v>40</v>
      </c>
      <c r="F12" s="96"/>
      <c r="G12" s="17" t="s">
        <v>124</v>
      </c>
      <c r="H12" s="17" t="s">
        <v>297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 x14ac:dyDescent="0.25">
      <c r="A13" s="37" t="s">
        <v>299</v>
      </c>
      <c r="B13" s="34" t="s">
        <v>38</v>
      </c>
      <c r="C13" s="36"/>
      <c r="D13" s="34" t="s">
        <v>300</v>
      </c>
      <c r="E13" s="95" t="s">
        <v>40</v>
      </c>
      <c r="F13" s="96"/>
      <c r="G13" s="17" t="s">
        <v>124</v>
      </c>
      <c r="H13" s="17" t="s">
        <v>299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 x14ac:dyDescent="0.25">
      <c r="A14" s="37"/>
      <c r="B14" s="34"/>
      <c r="C14" s="36"/>
      <c r="D14" s="16"/>
      <c r="E14" s="95"/>
      <c r="F14" s="96"/>
      <c r="G14" s="17"/>
      <c r="H14" s="17"/>
      <c r="I14" s="23"/>
      <c r="J14" s="41"/>
      <c r="K14" s="12"/>
      <c r="L14" s="12"/>
      <c r="M14" s="49"/>
      <c r="N14" s="97"/>
      <c r="O14" s="98"/>
      <c r="P14" s="13"/>
      <c r="Q14" s="14"/>
      <c r="R14" s="14"/>
    </row>
    <row r="15" spans="1:18" ht="15.75" customHeight="1" outlineLevel="1" x14ac:dyDescent="0.25">
      <c r="A15" s="37"/>
      <c r="B15" s="34"/>
      <c r="C15" s="36"/>
      <c r="D15" s="16"/>
      <c r="E15" s="46"/>
      <c r="F15" s="47"/>
      <c r="G15" s="17"/>
      <c r="H15" s="22"/>
      <c r="I15" s="48"/>
      <c r="J15" s="41"/>
      <c r="K15" s="12"/>
      <c r="L15" s="12"/>
      <c r="M15" s="45"/>
      <c r="N15" s="42"/>
      <c r="O15" s="43"/>
      <c r="P15" s="13"/>
      <c r="Q15" s="14"/>
      <c r="R15" s="14"/>
    </row>
    <row r="16" spans="1:18" ht="15.75" customHeight="1" outlineLevel="1" x14ac:dyDescent="0.25">
      <c r="A16" s="37"/>
      <c r="B16" s="34"/>
      <c r="C16" s="36"/>
      <c r="D16" s="34"/>
      <c r="E16" s="95"/>
      <c r="F16" s="96"/>
      <c r="G16" s="17"/>
      <c r="H16" s="22"/>
      <c r="I16" s="23"/>
      <c r="J16" s="41"/>
      <c r="K16" s="12"/>
      <c r="L16" s="12"/>
      <c r="M16" s="45"/>
      <c r="N16" s="97"/>
      <c r="O16" s="98"/>
      <c r="P16" s="13"/>
      <c r="Q16" s="14"/>
      <c r="R16" s="14"/>
    </row>
    <row r="17" spans="1:18" ht="15.75" customHeight="1" outlineLevel="1" x14ac:dyDescent="0.25">
      <c r="A17" s="38" t="s">
        <v>94</v>
      </c>
      <c r="B17" s="39"/>
      <c r="C17" s="40"/>
      <c r="D17" s="9"/>
      <c r="E17" s="95"/>
      <c r="F17" s="96"/>
      <c r="G17" s="17"/>
      <c r="H17" s="25"/>
      <c r="I17" s="24"/>
      <c r="J17" s="51"/>
      <c r="K17" s="3"/>
      <c r="L17" s="3"/>
      <c r="M17" s="49"/>
      <c r="N17" s="139"/>
      <c r="O17" s="140"/>
      <c r="P17" s="4"/>
      <c r="Q17" s="14" t="str">
        <f t="shared" ref="Q17" si="0">CONCATENATE($Q$2,H17,$R$2,A17,$Q$2,",")</f>
        <v>"": "Leave Empty",</v>
      </c>
      <c r="R17" s="14" t="e">
        <f>IF(#REF!="Done",H17 &amp; "::" &amp; B17 &amp; " as " &amp; A17 &amp; IF(B18 = "", "",","),"")</f>
        <v>#REF!</v>
      </c>
    </row>
    <row r="18" spans="1:18" ht="15.75" customHeight="1" x14ac:dyDescent="0.4">
      <c r="E18" s="141"/>
      <c r="F18" s="103"/>
      <c r="G18" s="142"/>
      <c r="H18" s="119"/>
      <c r="I18" s="26"/>
      <c r="N18" s="122"/>
      <c r="O18" s="122"/>
      <c r="Q18" s="5" t="s">
        <v>301</v>
      </c>
      <c r="R18" s="5" t="s">
        <v>301</v>
      </c>
    </row>
    <row r="19" spans="1:18" ht="15.75" customHeight="1" x14ac:dyDescent="0.2"/>
    <row r="20" spans="1:18" ht="15.75" customHeight="1" x14ac:dyDescent="0.2"/>
    <row r="21" spans="1:18" ht="15.75" customHeight="1" x14ac:dyDescent="0.2"/>
    <row r="22" spans="1:18" ht="15.75" customHeight="1" x14ac:dyDescent="0.2"/>
    <row r="23" spans="1:18" ht="15.75" customHeight="1" x14ac:dyDescent="0.2"/>
    <row r="24" spans="1:18" ht="15.75" customHeight="1" x14ac:dyDescent="0.2"/>
    <row r="25" spans="1:18" ht="15.75" customHeight="1" x14ac:dyDescent="0.2"/>
    <row r="26" spans="1:18" ht="15.75" customHeight="1" x14ac:dyDescent="0.2"/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s="18" customFormat="1" ht="15.75" customHeight="1" x14ac:dyDescent="0.2">
      <c r="D31" s="54"/>
      <c r="E31" s="21"/>
      <c r="F31" s="44"/>
      <c r="G31" s="27"/>
      <c r="J31"/>
      <c r="K31"/>
      <c r="L31"/>
      <c r="M31"/>
      <c r="N31"/>
      <c r="O31"/>
      <c r="P31"/>
      <c r="Q31"/>
      <c r="R31"/>
    </row>
    <row r="32" spans="1:18" s="18" customFormat="1" ht="15.75" customHeight="1" x14ac:dyDescent="0.2">
      <c r="E32" s="21"/>
      <c r="F32" s="44"/>
      <c r="G32" s="27"/>
      <c r="J32"/>
      <c r="K32"/>
      <c r="L32"/>
      <c r="M32"/>
      <c r="N32"/>
      <c r="O32"/>
      <c r="P32"/>
      <c r="Q32"/>
      <c r="R32"/>
    </row>
    <row r="33" spans="5:18" s="18" customFormat="1" ht="15.75" customHeight="1" x14ac:dyDescent="0.2">
      <c r="E33" s="21"/>
      <c r="F33" s="44"/>
      <c r="G33" s="27"/>
      <c r="J33"/>
      <c r="K33"/>
      <c r="L33"/>
      <c r="M33"/>
      <c r="N33"/>
      <c r="O33"/>
      <c r="P33"/>
      <c r="Q33"/>
      <c r="R33"/>
    </row>
    <row r="34" spans="5:18" s="18" customFormat="1" ht="15.75" customHeight="1" x14ac:dyDescent="0.2">
      <c r="E34" s="21"/>
      <c r="F34" s="44"/>
      <c r="G34" s="27"/>
      <c r="J34"/>
      <c r="K34"/>
      <c r="L34"/>
      <c r="M34"/>
      <c r="N34"/>
      <c r="O34"/>
      <c r="P34"/>
      <c r="Q34"/>
      <c r="R34"/>
    </row>
    <row r="35" spans="5:18" s="18" customFormat="1" ht="15.75" customHeight="1" x14ac:dyDescent="0.2">
      <c r="E35" s="21"/>
      <c r="F35" s="44"/>
      <c r="G35" s="27"/>
      <c r="J35"/>
      <c r="K35"/>
      <c r="L35"/>
      <c r="M35"/>
      <c r="N35"/>
      <c r="O35"/>
      <c r="P35"/>
      <c r="Q35"/>
      <c r="R35"/>
    </row>
    <row r="36" spans="5:18" s="18" customFormat="1" ht="15.75" customHeight="1" x14ac:dyDescent="0.2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 x14ac:dyDescent="0.2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 x14ac:dyDescent="0.2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 x14ac:dyDescent="0.2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 x14ac:dyDescent="0.2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 x14ac:dyDescent="0.2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 x14ac:dyDescent="0.2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 x14ac:dyDescent="0.2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 x14ac:dyDescent="0.2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 x14ac:dyDescent="0.2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 x14ac:dyDescent="0.2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 x14ac:dyDescent="0.2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 x14ac:dyDescent="0.2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 x14ac:dyDescent="0.2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 x14ac:dyDescent="0.2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 x14ac:dyDescent="0.2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 x14ac:dyDescent="0.2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 x14ac:dyDescent="0.2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 x14ac:dyDescent="0.2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 x14ac:dyDescent="0.2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 x14ac:dyDescent="0.2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 x14ac:dyDescent="0.2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 x14ac:dyDescent="0.2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 x14ac:dyDescent="0.2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 x14ac:dyDescent="0.2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 x14ac:dyDescent="0.2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 x14ac:dyDescent="0.2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 x14ac:dyDescent="0.2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 x14ac:dyDescent="0.2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 x14ac:dyDescent="0.2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 x14ac:dyDescent="0.2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 x14ac:dyDescent="0.2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 x14ac:dyDescent="0.2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 x14ac:dyDescent="0.2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 x14ac:dyDescent="0.2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 x14ac:dyDescent="0.2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 x14ac:dyDescent="0.2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 x14ac:dyDescent="0.2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 x14ac:dyDescent="0.2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 x14ac:dyDescent="0.2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 x14ac:dyDescent="0.2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 x14ac:dyDescent="0.2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 x14ac:dyDescent="0.2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 x14ac:dyDescent="0.2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 x14ac:dyDescent="0.2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 x14ac:dyDescent="0.2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 x14ac:dyDescent="0.2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 x14ac:dyDescent="0.2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 x14ac:dyDescent="0.2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 x14ac:dyDescent="0.2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 x14ac:dyDescent="0.2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 x14ac:dyDescent="0.2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 x14ac:dyDescent="0.2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 x14ac:dyDescent="0.2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 x14ac:dyDescent="0.2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 x14ac:dyDescent="0.2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 x14ac:dyDescent="0.2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 x14ac:dyDescent="0.2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 x14ac:dyDescent="0.2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 x14ac:dyDescent="0.2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 x14ac:dyDescent="0.2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 x14ac:dyDescent="0.2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 x14ac:dyDescent="0.2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 x14ac:dyDescent="0.2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 x14ac:dyDescent="0.2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 x14ac:dyDescent="0.2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 x14ac:dyDescent="0.2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 x14ac:dyDescent="0.2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 x14ac:dyDescent="0.2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 x14ac:dyDescent="0.2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 x14ac:dyDescent="0.2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 x14ac:dyDescent="0.2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 x14ac:dyDescent="0.2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 x14ac:dyDescent="0.2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 x14ac:dyDescent="0.2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 x14ac:dyDescent="0.2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 x14ac:dyDescent="0.2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 x14ac:dyDescent="0.2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 x14ac:dyDescent="0.2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 x14ac:dyDescent="0.2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 x14ac:dyDescent="0.2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 x14ac:dyDescent="0.2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 x14ac:dyDescent="0.2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 x14ac:dyDescent="0.2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 x14ac:dyDescent="0.2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 x14ac:dyDescent="0.2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 x14ac:dyDescent="0.2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 x14ac:dyDescent="0.2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 x14ac:dyDescent="0.2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 x14ac:dyDescent="0.2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 x14ac:dyDescent="0.2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 x14ac:dyDescent="0.2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 x14ac:dyDescent="0.2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 x14ac:dyDescent="0.2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 x14ac:dyDescent="0.2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 x14ac:dyDescent="0.2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 x14ac:dyDescent="0.2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 x14ac:dyDescent="0.2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 x14ac:dyDescent="0.2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 x14ac:dyDescent="0.2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 x14ac:dyDescent="0.2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 x14ac:dyDescent="0.2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 x14ac:dyDescent="0.2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 x14ac:dyDescent="0.2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 x14ac:dyDescent="0.2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 x14ac:dyDescent="0.2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 x14ac:dyDescent="0.2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 x14ac:dyDescent="0.2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 x14ac:dyDescent="0.2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 x14ac:dyDescent="0.2">
      <c r="E145" s="21"/>
      <c r="F145" s="44"/>
      <c r="G145" s="27"/>
      <c r="J145"/>
      <c r="K145"/>
      <c r="L145"/>
      <c r="M145"/>
      <c r="N145"/>
      <c r="O145"/>
      <c r="P145"/>
      <c r="Q145"/>
      <c r="R145"/>
    </row>
  </sheetData>
  <autoFilter ref="A8:P17" xr:uid="{00000000-0009-0000-0000-000000000000}"/>
  <mergeCells count="40">
    <mergeCell ref="E16:F16"/>
    <mergeCell ref="N16:O16"/>
    <mergeCell ref="E17:F17"/>
    <mergeCell ref="N17:O17"/>
    <mergeCell ref="E18:F18"/>
    <mergeCell ref="G18:H18"/>
    <mergeCell ref="N18:O18"/>
    <mergeCell ref="E14:F14"/>
    <mergeCell ref="N14:O14"/>
    <mergeCell ref="E12:F12"/>
    <mergeCell ref="E11:F11"/>
    <mergeCell ref="N11:O11"/>
    <mergeCell ref="E13:F13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R2:R5"/>
    <mergeCell ref="C3:C5"/>
    <mergeCell ref="D3:D5"/>
    <mergeCell ref="F3:G3"/>
    <mergeCell ref="F4:G4"/>
    <mergeCell ref="F5:G5"/>
    <mergeCell ref="Q2:Q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phoneticPr fontId="13" type="noConversion"/>
  <conditionalFormatting sqref="A9:A17">
    <cfRule type="expression" dxfId="26" priority="3">
      <formula>M9 = "On Hold"</formula>
    </cfRule>
  </conditionalFormatting>
  <conditionalFormatting sqref="B2:B5 J9:P17">
    <cfRule type="cellIs" dxfId="25" priority="1" operator="equal">
      <formula>"Done"</formula>
    </cfRule>
    <cfRule type="cellIs" dxfId="24" priority="2" operator="equal">
      <formula>"On Hold"</formula>
    </cfRule>
    <cfRule type="cellIs" dxfId="23" priority="4" operator="equal">
      <formula>"Ready for Review"</formula>
    </cfRule>
    <cfRule type="cellIs" dxfId="22" priority="5" operator="equal">
      <formula>"In Review"</formula>
    </cfRule>
  </conditionalFormatting>
  <dataValidations count="7">
    <dataValidation type="list" allowBlank="1" showErrorMessage="1" sqref="B2" xr:uid="{477AC1D5-60F0-4708-B6DB-9C6BDB58E437}">
      <formula1>STT_Statuses</formula1>
    </dataValidation>
    <dataValidation type="list" allowBlank="1" sqref="B4:B5" xr:uid="{512C54FA-4DDC-4461-A875-A3E63EFF16A1}">
      <formula1>ETL_Statuses</formula1>
    </dataValidation>
    <dataValidation type="list" allowBlank="1" sqref="B3 M9:M17" xr:uid="{A86075BF-C589-4E3D-A167-6541B6785EDD}">
      <formula1>Statuses</formula1>
    </dataValidation>
    <dataValidation type="list" allowBlank="1" sqref="N9:N17" xr:uid="{D5BED0BE-595B-46BD-9D94-35B4910023F1}">
      <formula1>Categories</formula1>
    </dataValidation>
    <dataValidation type="list" allowBlank="1" sqref="P9:P17" xr:uid="{297C5830-5951-437F-80B8-EEF6F1B66238}">
      <formula1>Versions</formula1>
    </dataValidation>
    <dataValidation type="list" allowBlank="1" sqref="E9:E17" xr:uid="{DC491E42-8EA2-4136-A535-40C507E7605C}">
      <formula1>Sources</formula1>
    </dataValidation>
    <dataValidation type="list" allowBlank="1" sqref="B9:B17" xr:uid="{A25B46E1-6E61-4721-AA50-7D28BFB75C1C}">
      <formula1>Data_Types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F435-51AC-4694-A265-C89AC2930E5D}">
  <sheetPr>
    <tabColor theme="6" tint="0.59999389629810485"/>
    <outlinePr summaryBelow="0" summaryRight="0"/>
  </sheetPr>
  <dimension ref="A1:O142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3" sqref="D3:D5"/>
    </sheetView>
  </sheetViews>
  <sheetFormatPr defaultColWidth="12.7109375" defaultRowHeight="15" customHeight="1" outlineLevelRow="1" outlineLevelCol="1" x14ac:dyDescent="0.2"/>
  <cols>
    <col min="1" max="1" width="26.140625" style="18" customWidth="1"/>
    <col min="2" max="2" width="16.28515625" style="18" customWidth="1" outlineLevel="1"/>
    <col min="3" max="3" width="7" style="18" customWidth="1" outlineLevel="1"/>
    <col min="4" max="4" width="2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26.85546875" style="18" customWidth="1" outlineLevel="1"/>
    <col min="9" max="9" width="14.42578125" style="18" customWidth="1" outlineLevel="1"/>
    <col min="10" max="10" width="2.28515625" customWidth="1"/>
    <col min="11" max="11" width="2.28515625" customWidth="1" collapsed="1"/>
    <col min="12" max="12" width="10.7109375" hidden="1" customWidth="1" outlineLevel="1"/>
    <col min="13" max="13" width="11" hidden="1" customWidth="1" outlineLevel="1"/>
    <col min="14" max="14" width="51.140625" customWidth="1"/>
    <col min="15" max="15" width="48.42578125" customWidth="1"/>
  </cols>
  <sheetData>
    <row r="1" spans="1:15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121"/>
      <c r="L1" s="122"/>
      <c r="M1" s="122"/>
    </row>
    <row r="2" spans="1:15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32" t="s">
        <v>6</v>
      </c>
      <c r="K2" s="135" t="s">
        <v>7</v>
      </c>
      <c r="L2" s="136"/>
      <c r="M2" s="126"/>
      <c r="N2" s="137" t="s">
        <v>8</v>
      </c>
      <c r="O2" s="101" t="s">
        <v>9</v>
      </c>
    </row>
    <row r="3" spans="1:15" ht="15.75" customHeight="1" outlineLevel="1" x14ac:dyDescent="0.2">
      <c r="A3" s="29" t="s">
        <v>10</v>
      </c>
      <c r="B3" s="29"/>
      <c r="C3" s="103"/>
      <c r="D3" s="104" t="s">
        <v>302</v>
      </c>
      <c r="E3" s="105"/>
      <c r="F3" s="107" t="s">
        <v>303</v>
      </c>
      <c r="G3" s="108"/>
      <c r="H3" s="19" t="s">
        <v>13</v>
      </c>
      <c r="I3" s="20"/>
      <c r="J3" s="133"/>
      <c r="K3" s="133"/>
      <c r="L3" s="127"/>
      <c r="M3" s="128"/>
      <c r="N3" s="137"/>
      <c r="O3" s="101"/>
    </row>
    <row r="4" spans="1:15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33"/>
      <c r="K4" s="133"/>
      <c r="L4" s="127"/>
      <c r="M4" s="128"/>
      <c r="N4" s="137"/>
      <c r="O4" s="101"/>
    </row>
    <row r="5" spans="1:15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33"/>
      <c r="K5" s="133"/>
      <c r="L5" s="127"/>
      <c r="M5" s="128"/>
      <c r="N5" s="138"/>
      <c r="O5" s="102"/>
    </row>
    <row r="6" spans="1:15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34"/>
      <c r="K6" s="134"/>
      <c r="L6" s="129"/>
      <c r="M6" s="131"/>
      <c r="N6" s="10" t="s">
        <v>20</v>
      </c>
      <c r="O6" s="10" t="s">
        <v>20</v>
      </c>
    </row>
    <row r="7" spans="1:15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53" t="s">
        <v>23</v>
      </c>
      <c r="K7" s="117" t="s">
        <v>24</v>
      </c>
      <c r="L7" s="115"/>
      <c r="M7" s="116"/>
      <c r="N7" s="11" t="e">
        <f ca="1">"CREATE OR REPLACE TABLE " &amp; GetSheetName()</f>
        <v>#NAME?</v>
      </c>
      <c r="O7" s="11" t="e">
        <f ca="1">"CREATE OR REPLACE TABLE " &amp; GetSheetName()</f>
        <v>#NAME?</v>
      </c>
    </row>
    <row r="8" spans="1:15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2" t="s">
        <v>34</v>
      </c>
      <c r="K8" s="97" t="s">
        <v>35</v>
      </c>
      <c r="L8" s="116"/>
      <c r="M8" s="13" t="s">
        <v>36</v>
      </c>
      <c r="N8" s="14" t="str">
        <f>"("</f>
        <v>(</v>
      </c>
      <c r="O8" s="14" t="str">
        <f>"("</f>
        <v>(</v>
      </c>
    </row>
    <row r="9" spans="1:15" ht="15.75" customHeight="1" outlineLevel="1" x14ac:dyDescent="0.25">
      <c r="A9" s="37" t="s">
        <v>127</v>
      </c>
      <c r="B9" s="34" t="s">
        <v>50</v>
      </c>
      <c r="C9" s="36" t="e" vm="2">
        <f>C6</f>
        <v>#VALUE!</v>
      </c>
      <c r="D9" s="16" t="s">
        <v>304</v>
      </c>
      <c r="E9" s="95" t="s">
        <v>279</v>
      </c>
      <c r="F9" s="96"/>
      <c r="G9" s="17" t="s">
        <v>305</v>
      </c>
      <c r="H9" s="17" t="s">
        <v>127</v>
      </c>
      <c r="I9" s="23"/>
      <c r="J9" s="49"/>
      <c r="K9" s="97" t="s">
        <v>42</v>
      </c>
      <c r="L9" s="98"/>
      <c r="M9" s="13" t="s">
        <v>43</v>
      </c>
      <c r="N9" s="14"/>
      <c r="O9" s="14"/>
    </row>
    <row r="10" spans="1:15" ht="15.75" customHeight="1" outlineLevel="1" x14ac:dyDescent="0.25">
      <c r="A10" s="37" t="s">
        <v>130</v>
      </c>
      <c r="B10" s="34" t="s">
        <v>38</v>
      </c>
      <c r="C10" s="36"/>
      <c r="D10" s="16" t="s">
        <v>131</v>
      </c>
      <c r="E10" s="95" t="s">
        <v>279</v>
      </c>
      <c r="F10" s="96"/>
      <c r="G10" s="17" t="s">
        <v>305</v>
      </c>
      <c r="H10" s="17" t="s">
        <v>130</v>
      </c>
      <c r="I10" s="17"/>
      <c r="J10" s="49"/>
      <c r="K10" s="97"/>
      <c r="L10" s="98"/>
      <c r="M10" s="13"/>
      <c r="N10" s="14"/>
      <c r="O10" s="14"/>
    </row>
    <row r="11" spans="1:15" ht="15.75" customHeight="1" outlineLevel="1" x14ac:dyDescent="0.25">
      <c r="A11" s="37" t="s">
        <v>306</v>
      </c>
      <c r="B11" s="34" t="s">
        <v>38</v>
      </c>
      <c r="C11" s="36"/>
      <c r="D11" s="16" t="s">
        <v>307</v>
      </c>
      <c r="E11" s="95" t="s">
        <v>279</v>
      </c>
      <c r="F11" s="96"/>
      <c r="G11" s="17" t="s">
        <v>305</v>
      </c>
      <c r="H11" s="17" t="s">
        <v>306</v>
      </c>
      <c r="I11" s="48"/>
      <c r="J11" s="49"/>
      <c r="K11" s="42"/>
      <c r="L11" s="43"/>
      <c r="M11" s="13"/>
      <c r="N11" s="14"/>
      <c r="O11" s="14"/>
    </row>
    <row r="12" spans="1:15" ht="15.75" customHeight="1" outlineLevel="1" x14ac:dyDescent="0.25">
      <c r="A12" s="37" t="s">
        <v>182</v>
      </c>
      <c r="B12" s="34" t="s">
        <v>38</v>
      </c>
      <c r="C12" s="36"/>
      <c r="D12" s="16" t="s">
        <v>308</v>
      </c>
      <c r="E12" s="95" t="s">
        <v>279</v>
      </c>
      <c r="F12" s="96"/>
      <c r="G12" s="17" t="s">
        <v>305</v>
      </c>
      <c r="H12" s="22" t="s">
        <v>182</v>
      </c>
      <c r="I12" s="48"/>
      <c r="J12" s="49"/>
      <c r="K12" s="42"/>
      <c r="L12" s="43"/>
      <c r="M12" s="13"/>
      <c r="N12" s="14"/>
      <c r="O12" s="14"/>
    </row>
    <row r="13" spans="1:15" ht="15.75" customHeight="1" outlineLevel="1" x14ac:dyDescent="0.25">
      <c r="A13" s="37"/>
      <c r="B13" s="34"/>
      <c r="C13" s="36"/>
      <c r="D13" s="15"/>
      <c r="E13" s="46"/>
      <c r="F13" s="47"/>
      <c r="G13" s="17"/>
      <c r="H13" s="22"/>
      <c r="I13" s="23"/>
      <c r="J13" s="49"/>
      <c r="K13" s="42"/>
      <c r="L13" s="43"/>
      <c r="M13" s="13"/>
      <c r="N13" s="14"/>
      <c r="O13" s="14"/>
    </row>
    <row r="14" spans="1:15" ht="15.75" customHeight="1" outlineLevel="1" x14ac:dyDescent="0.25">
      <c r="A14" s="38" t="s">
        <v>94</v>
      </c>
      <c r="B14" s="39"/>
      <c r="C14" s="40"/>
      <c r="D14" s="9"/>
      <c r="E14" s="95"/>
      <c r="F14" s="96"/>
      <c r="G14" s="17"/>
      <c r="H14" s="25"/>
      <c r="I14" s="24"/>
      <c r="J14" s="49"/>
      <c r="K14" s="139"/>
      <c r="L14" s="140"/>
      <c r="M14" s="4"/>
      <c r="N14" s="14"/>
      <c r="O14" s="14"/>
    </row>
    <row r="15" spans="1:15" ht="15.75" customHeight="1" x14ac:dyDescent="0.4">
      <c r="E15" s="141"/>
      <c r="F15" s="103"/>
      <c r="G15" s="142"/>
      <c r="H15" s="119"/>
      <c r="I15" s="26"/>
      <c r="K15" s="122"/>
      <c r="L15" s="122"/>
      <c r="N15" s="5" t="s">
        <v>301</v>
      </c>
      <c r="O15" s="5" t="s">
        <v>301</v>
      </c>
    </row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</sheetData>
  <autoFilter ref="A8:M14" xr:uid="{00000000-0009-0000-0000-000000000000}"/>
  <mergeCells count="32">
    <mergeCell ref="B1:D1"/>
    <mergeCell ref="E1:I1"/>
    <mergeCell ref="K1:M1"/>
    <mergeCell ref="B7:D7"/>
    <mergeCell ref="E7:I7"/>
    <mergeCell ref="K7:M7"/>
    <mergeCell ref="E8:F8"/>
    <mergeCell ref="K8:L8"/>
    <mergeCell ref="O2:O5"/>
    <mergeCell ref="C3:C5"/>
    <mergeCell ref="D3:D5"/>
    <mergeCell ref="F3:G3"/>
    <mergeCell ref="F4:G4"/>
    <mergeCell ref="F5:G5"/>
    <mergeCell ref="J2:J6"/>
    <mergeCell ref="K2:K6"/>
    <mergeCell ref="L2:M6"/>
    <mergeCell ref="E2:E6"/>
    <mergeCell ref="F2:G2"/>
    <mergeCell ref="F6:I6"/>
    <mergeCell ref="N2:N5"/>
    <mergeCell ref="E9:F9"/>
    <mergeCell ref="K9:L9"/>
    <mergeCell ref="E10:F10"/>
    <mergeCell ref="K10:L10"/>
    <mergeCell ref="E12:F12"/>
    <mergeCell ref="E11:F11"/>
    <mergeCell ref="E14:F14"/>
    <mergeCell ref="K14:L14"/>
    <mergeCell ref="K15:L15"/>
    <mergeCell ref="E15:F15"/>
    <mergeCell ref="G15:H15"/>
  </mergeCells>
  <conditionalFormatting sqref="A9:A14">
    <cfRule type="expression" dxfId="21" priority="6">
      <formula>J9 = "On Hold"</formula>
    </cfRule>
  </conditionalFormatting>
  <conditionalFormatting sqref="B2:B5 J9:M14">
    <cfRule type="cellIs" dxfId="20" priority="4" operator="equal">
      <formula>"Done"</formula>
    </cfRule>
    <cfRule type="cellIs" dxfId="19" priority="5" operator="equal">
      <formula>"On Hold"</formula>
    </cfRule>
    <cfRule type="cellIs" dxfId="18" priority="7" operator="equal">
      <formula>"Ready for Review"</formula>
    </cfRule>
    <cfRule type="cellIs" dxfId="17" priority="8" operator="equal">
      <formula>"In Review"</formula>
    </cfRule>
  </conditionalFormatting>
  <dataValidations count="7">
    <dataValidation type="list" allowBlank="1" sqref="B3 J9:J14" xr:uid="{3536A609-AF57-4059-91FF-B3435C4D0774}">
      <formula1>Statuses</formula1>
    </dataValidation>
    <dataValidation type="list" allowBlank="1" sqref="B4:B5" xr:uid="{0AFFA6AB-7B13-4FB4-8562-B052B1E72E2F}">
      <formula1>ETL_Statuses</formula1>
    </dataValidation>
    <dataValidation type="list" allowBlank="1" showErrorMessage="1" sqref="B2" xr:uid="{172B6FFA-E859-4F9D-AFCA-B4E8D0EDA062}">
      <formula1>STT_Statuses</formula1>
    </dataValidation>
    <dataValidation type="list" allowBlank="1" sqref="B9:B14" xr:uid="{9AE218D2-F8E5-492E-AF2A-E06950039D61}">
      <formula1>Data_Types</formula1>
    </dataValidation>
    <dataValidation type="list" allowBlank="1" sqref="E9:E14" xr:uid="{FF632B05-3A1A-4945-8E45-273D32214003}">
      <formula1>Sources</formula1>
    </dataValidation>
    <dataValidation type="list" allowBlank="1" sqref="M9:M14" xr:uid="{9CF8BA4E-63AB-4124-A748-D8A88E72CE57}">
      <formula1>Versions</formula1>
    </dataValidation>
    <dataValidation type="list" allowBlank="1" sqref="K9:K14" xr:uid="{A9E94411-3E93-43E7-AD07-C94CD0714F23}">
      <formula1>Categories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99E-B47A-45E9-9957-4202344DC1C4}">
  <sheetPr>
    <tabColor theme="6" tint="0.59999389629810485"/>
    <outlinePr summaryBelow="0" summaryRight="0"/>
  </sheetPr>
  <dimension ref="A1:R157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7" sqref="A27"/>
    </sheetView>
  </sheetViews>
  <sheetFormatPr defaultColWidth="12.7109375" defaultRowHeight="15" customHeight="1" outlineLevelRow="1" outlineLevelCol="1" x14ac:dyDescent="0.2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26.855468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309</v>
      </c>
      <c r="E3" s="105"/>
      <c r="F3" s="107" t="s">
        <v>310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11" t="s">
        <v>311</v>
      </c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37" t="s">
        <v>179</v>
      </c>
      <c r="B9" s="55" t="s">
        <v>50</v>
      </c>
      <c r="C9" s="36" t="e" vm="1">
        <v>#VALUE!</v>
      </c>
      <c r="D9" s="34" t="s">
        <v>180</v>
      </c>
      <c r="E9" s="95" t="s">
        <v>279</v>
      </c>
      <c r="F9" s="96"/>
      <c r="G9" s="17" t="s">
        <v>181</v>
      </c>
      <c r="H9" s="17" t="s">
        <v>179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37" t="s">
        <v>182</v>
      </c>
      <c r="B10" s="34" t="s">
        <v>38</v>
      </c>
      <c r="C10" s="36"/>
      <c r="D10" s="16" t="s">
        <v>183</v>
      </c>
      <c r="E10" s="95" t="s">
        <v>279</v>
      </c>
      <c r="F10" s="96"/>
      <c r="G10" s="17" t="s">
        <v>181</v>
      </c>
      <c r="H10" s="22" t="s">
        <v>182</v>
      </c>
      <c r="I10" s="17"/>
      <c r="J10" s="41"/>
      <c r="K10" s="12"/>
      <c r="L10" s="12"/>
      <c r="M10" s="49"/>
      <c r="N10" s="97"/>
      <c r="O10" s="98"/>
      <c r="P10" s="13"/>
      <c r="Q10" s="14"/>
      <c r="R10" s="14"/>
    </row>
    <row r="11" spans="1:18" ht="15.75" customHeight="1" outlineLevel="1" x14ac:dyDescent="0.25">
      <c r="A11" s="37" t="s">
        <v>312</v>
      </c>
      <c r="B11" s="34" t="s">
        <v>38</v>
      </c>
      <c r="C11" s="36"/>
      <c r="D11" s="34" t="s">
        <v>313</v>
      </c>
      <c r="E11" s="95" t="s">
        <v>279</v>
      </c>
      <c r="F11" s="96"/>
      <c r="G11" s="17" t="s">
        <v>181</v>
      </c>
      <c r="H11" s="17" t="s">
        <v>314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37" t="s">
        <v>315</v>
      </c>
      <c r="B12" s="34" t="s">
        <v>38</v>
      </c>
      <c r="C12" s="36"/>
      <c r="D12" s="34" t="s">
        <v>316</v>
      </c>
      <c r="E12" s="95" t="s">
        <v>279</v>
      </c>
      <c r="F12" s="96"/>
      <c r="G12" s="17" t="s">
        <v>181</v>
      </c>
      <c r="H12" s="17" t="s">
        <v>315</v>
      </c>
      <c r="I12" s="23"/>
      <c r="J12" s="41"/>
      <c r="K12" s="12"/>
      <c r="L12" s="12"/>
      <c r="M12" s="49"/>
      <c r="N12" s="97"/>
      <c r="O12" s="98"/>
      <c r="P12" s="13"/>
      <c r="Q12" s="14"/>
      <c r="R12" s="14"/>
    </row>
    <row r="13" spans="1:18" ht="15.75" customHeight="1" outlineLevel="1" x14ac:dyDescent="0.25">
      <c r="A13" s="37" t="s">
        <v>317</v>
      </c>
      <c r="B13" s="34" t="s">
        <v>38</v>
      </c>
      <c r="C13" s="36"/>
      <c r="D13" s="16" t="s">
        <v>318</v>
      </c>
      <c r="E13" s="95" t="s">
        <v>279</v>
      </c>
      <c r="F13" s="96"/>
      <c r="G13" s="17" t="s">
        <v>181</v>
      </c>
      <c r="H13" s="17" t="s">
        <v>317</v>
      </c>
      <c r="I13" s="23" t="s">
        <v>319</v>
      </c>
      <c r="J13" s="41"/>
      <c r="K13" s="12"/>
      <c r="L13" s="12"/>
      <c r="M13" s="49"/>
      <c r="N13" s="97"/>
      <c r="O13" s="98"/>
      <c r="P13" s="13"/>
      <c r="Q13" s="14"/>
      <c r="R13" s="14"/>
    </row>
    <row r="14" spans="1:18" ht="15.75" customHeight="1" outlineLevel="1" x14ac:dyDescent="0.25">
      <c r="A14" s="37" t="s">
        <v>320</v>
      </c>
      <c r="B14" s="34" t="s">
        <v>38</v>
      </c>
      <c r="C14" s="36"/>
      <c r="D14" s="34" t="s">
        <v>321</v>
      </c>
      <c r="E14" s="95" t="s">
        <v>279</v>
      </c>
      <c r="F14" s="96"/>
      <c r="G14" s="17" t="s">
        <v>322</v>
      </c>
      <c r="H14" s="17" t="s">
        <v>320</v>
      </c>
      <c r="I14" s="23"/>
      <c r="J14" s="41"/>
      <c r="K14" s="12"/>
      <c r="L14" s="12"/>
      <c r="M14" s="49"/>
      <c r="N14" s="97"/>
      <c r="O14" s="98"/>
      <c r="P14" s="13"/>
      <c r="Q14" s="14"/>
      <c r="R14" s="14"/>
    </row>
    <row r="15" spans="1:18" ht="15.75" customHeight="1" outlineLevel="1" x14ac:dyDescent="0.25">
      <c r="A15" s="37" t="s">
        <v>323</v>
      </c>
      <c r="B15" s="34" t="s">
        <v>38</v>
      </c>
      <c r="C15" s="36"/>
      <c r="D15" s="34" t="s">
        <v>324</v>
      </c>
      <c r="E15" s="95" t="s">
        <v>279</v>
      </c>
      <c r="F15" s="96"/>
      <c r="G15" s="17" t="s">
        <v>322</v>
      </c>
      <c r="H15" s="22" t="s">
        <v>323</v>
      </c>
      <c r="I15" s="23"/>
      <c r="J15" s="41"/>
      <c r="K15" s="12"/>
      <c r="L15" s="12"/>
      <c r="M15" s="49"/>
      <c r="N15" s="97"/>
      <c r="O15" s="98"/>
      <c r="P15" s="13"/>
      <c r="Q15" s="14"/>
      <c r="R15" s="14"/>
    </row>
    <row r="16" spans="1:18" ht="15.75" customHeight="1" outlineLevel="1" x14ac:dyDescent="0.25">
      <c r="A16" s="37" t="s">
        <v>325</v>
      </c>
      <c r="B16" s="34" t="s">
        <v>72</v>
      </c>
      <c r="C16" s="36"/>
      <c r="D16" s="34" t="s">
        <v>326</v>
      </c>
      <c r="E16" s="95" t="s">
        <v>279</v>
      </c>
      <c r="F16" s="96"/>
      <c r="G16" s="17" t="s">
        <v>322</v>
      </c>
      <c r="H16" s="17" t="s">
        <v>325</v>
      </c>
      <c r="I16" s="23"/>
      <c r="J16" s="41"/>
      <c r="K16" s="12"/>
      <c r="L16" s="12"/>
      <c r="M16" s="49"/>
      <c r="N16" s="97"/>
      <c r="O16" s="98"/>
      <c r="P16" s="13"/>
      <c r="Q16" s="14"/>
      <c r="R16" s="14"/>
    </row>
    <row r="17" spans="1:18" ht="15.75" customHeight="1" outlineLevel="1" x14ac:dyDescent="0.25">
      <c r="A17" s="37" t="s">
        <v>327</v>
      </c>
      <c r="B17" s="34" t="s">
        <v>72</v>
      </c>
      <c r="C17" s="36"/>
      <c r="D17" s="34" t="s">
        <v>328</v>
      </c>
      <c r="E17" s="95" t="s">
        <v>279</v>
      </c>
      <c r="F17" s="96"/>
      <c r="G17" s="17" t="s">
        <v>322</v>
      </c>
      <c r="H17" s="17" t="s">
        <v>327</v>
      </c>
      <c r="I17" s="23"/>
      <c r="J17" s="41"/>
      <c r="K17" s="12"/>
      <c r="L17" s="12"/>
      <c r="M17" s="49"/>
      <c r="N17" s="42"/>
      <c r="O17" s="43"/>
      <c r="P17" s="13"/>
      <c r="Q17" s="14"/>
      <c r="R17" s="14"/>
    </row>
    <row r="18" spans="1:18" ht="15.75" customHeight="1" outlineLevel="1" x14ac:dyDescent="0.25">
      <c r="A18" s="37" t="s">
        <v>329</v>
      </c>
      <c r="B18" s="34" t="s">
        <v>72</v>
      </c>
      <c r="C18" s="36"/>
      <c r="D18" s="34" t="s">
        <v>330</v>
      </c>
      <c r="E18" s="95" t="s">
        <v>279</v>
      </c>
      <c r="F18" s="96"/>
      <c r="G18" s="17" t="s">
        <v>322</v>
      </c>
      <c r="H18" s="17" t="s">
        <v>329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 x14ac:dyDescent="0.25">
      <c r="A19" s="37" t="s">
        <v>331</v>
      </c>
      <c r="B19" s="34" t="s">
        <v>72</v>
      </c>
      <c r="C19" s="36"/>
      <c r="D19" s="34" t="s">
        <v>332</v>
      </c>
      <c r="E19" s="95" t="s">
        <v>279</v>
      </c>
      <c r="F19" s="96"/>
      <c r="G19" s="17" t="s">
        <v>322</v>
      </c>
      <c r="H19" s="17" t="s">
        <v>331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 x14ac:dyDescent="0.25">
      <c r="A20" s="37" t="s">
        <v>333</v>
      </c>
      <c r="B20" s="34" t="s">
        <v>72</v>
      </c>
      <c r="C20" s="36"/>
      <c r="D20" s="34" t="s">
        <v>334</v>
      </c>
      <c r="E20" s="95" t="s">
        <v>279</v>
      </c>
      <c r="F20" s="96"/>
      <c r="G20" s="17" t="s">
        <v>322</v>
      </c>
      <c r="H20" s="17" t="s">
        <v>333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37" t="s">
        <v>335</v>
      </c>
      <c r="B21" s="34" t="s">
        <v>72</v>
      </c>
      <c r="C21" s="36"/>
      <c r="D21" s="34" t="s">
        <v>336</v>
      </c>
      <c r="E21" s="95" t="s">
        <v>279</v>
      </c>
      <c r="F21" s="96"/>
      <c r="G21" s="17" t="s">
        <v>322</v>
      </c>
      <c r="H21" s="17" t="s">
        <v>335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 x14ac:dyDescent="0.25">
      <c r="A22" s="37" t="s">
        <v>337</v>
      </c>
      <c r="B22" s="34" t="s">
        <v>72</v>
      </c>
      <c r="C22" s="36"/>
      <c r="D22" s="34" t="s">
        <v>338</v>
      </c>
      <c r="E22" s="95" t="s">
        <v>279</v>
      </c>
      <c r="F22" s="96"/>
      <c r="G22" s="17" t="s">
        <v>322</v>
      </c>
      <c r="H22" s="17" t="s">
        <v>337</v>
      </c>
      <c r="I22" s="23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 x14ac:dyDescent="0.25">
      <c r="A23" s="37" t="s">
        <v>339</v>
      </c>
      <c r="B23" s="34" t="s">
        <v>72</v>
      </c>
      <c r="C23" s="36"/>
      <c r="D23" s="34" t="s">
        <v>340</v>
      </c>
      <c r="E23" s="95" t="s">
        <v>279</v>
      </c>
      <c r="F23" s="96"/>
      <c r="G23" s="17" t="s">
        <v>322</v>
      </c>
      <c r="H23" s="17" t="s">
        <v>339</v>
      </c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 x14ac:dyDescent="0.25">
      <c r="A24" s="37" t="s">
        <v>341</v>
      </c>
      <c r="B24" s="34" t="s">
        <v>72</v>
      </c>
      <c r="C24" s="36"/>
      <c r="D24" s="34" t="s">
        <v>342</v>
      </c>
      <c r="E24" s="95" t="s">
        <v>279</v>
      </c>
      <c r="F24" s="96"/>
      <c r="G24" s="17" t="s">
        <v>322</v>
      </c>
      <c r="H24" s="17" t="s">
        <v>341</v>
      </c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 x14ac:dyDescent="0.25">
      <c r="A25" s="37" t="s">
        <v>343</v>
      </c>
      <c r="B25" s="34" t="s">
        <v>72</v>
      </c>
      <c r="C25" s="36"/>
      <c r="D25" s="34" t="s">
        <v>344</v>
      </c>
      <c r="E25" s="95" t="s">
        <v>279</v>
      </c>
      <c r="F25" s="96"/>
      <c r="G25" s="17" t="s">
        <v>322</v>
      </c>
      <c r="H25" s="17" t="s">
        <v>343</v>
      </c>
      <c r="I25" s="23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 x14ac:dyDescent="0.25">
      <c r="A26" s="37" t="s">
        <v>345</v>
      </c>
      <c r="B26" s="34" t="s">
        <v>72</v>
      </c>
      <c r="C26" s="36"/>
      <c r="D26" s="34" t="s">
        <v>346</v>
      </c>
      <c r="E26" s="95" t="s">
        <v>279</v>
      </c>
      <c r="F26" s="96"/>
      <c r="G26" s="17" t="s">
        <v>322</v>
      </c>
      <c r="H26" s="17" t="s">
        <v>345</v>
      </c>
      <c r="I26" s="23"/>
      <c r="J26" s="41"/>
      <c r="K26" s="12"/>
      <c r="L26" s="12"/>
      <c r="M26" s="49"/>
      <c r="N26" s="42"/>
      <c r="O26" s="43"/>
      <c r="P26" s="13"/>
      <c r="Q26" s="14"/>
      <c r="R26" s="14"/>
    </row>
    <row r="27" spans="1:18" ht="15.75" customHeight="1" outlineLevel="1" x14ac:dyDescent="0.25">
      <c r="A27" s="37" t="s">
        <v>347</v>
      </c>
      <c r="B27" s="34" t="s">
        <v>72</v>
      </c>
      <c r="C27" s="36"/>
      <c r="D27" s="16" t="s">
        <v>348</v>
      </c>
      <c r="E27" s="95" t="s">
        <v>279</v>
      </c>
      <c r="F27" s="96"/>
      <c r="G27" s="17" t="s">
        <v>322</v>
      </c>
      <c r="H27" s="22" t="s">
        <v>347</v>
      </c>
      <c r="I27" s="48"/>
      <c r="J27" s="41"/>
      <c r="K27" s="12"/>
      <c r="L27" s="12"/>
      <c r="M27" s="45"/>
      <c r="N27" s="42"/>
      <c r="O27" s="43"/>
      <c r="P27" s="13"/>
      <c r="Q27" s="14"/>
      <c r="R27" s="14"/>
    </row>
    <row r="28" spans="1:18" ht="15.75" customHeight="1" outlineLevel="1" x14ac:dyDescent="0.25">
      <c r="A28" s="37"/>
      <c r="B28" s="34"/>
      <c r="C28" s="36"/>
      <c r="D28" s="34"/>
      <c r="E28" s="95"/>
      <c r="F28" s="96"/>
      <c r="G28" s="17"/>
      <c r="H28" s="22"/>
      <c r="I28" s="23"/>
      <c r="J28" s="41"/>
      <c r="K28" s="12"/>
      <c r="L28" s="12"/>
      <c r="M28" s="45"/>
      <c r="N28" s="97"/>
      <c r="O28" s="98"/>
      <c r="P28" s="13"/>
      <c r="Q28" s="14"/>
      <c r="R28" s="14"/>
    </row>
    <row r="29" spans="1:18" ht="15.75" customHeight="1" outlineLevel="1" x14ac:dyDescent="0.25">
      <c r="A29" s="38" t="s">
        <v>94</v>
      </c>
      <c r="B29" s="39"/>
      <c r="C29" s="40"/>
      <c r="D29" s="9"/>
      <c r="E29" s="95"/>
      <c r="F29" s="96"/>
      <c r="G29" s="17"/>
      <c r="H29" s="25"/>
      <c r="I29" s="24"/>
      <c r="J29" s="51"/>
      <c r="K29" s="3"/>
      <c r="L29" s="3"/>
      <c r="M29" s="49"/>
      <c r="N29" s="139"/>
      <c r="O29" s="140"/>
      <c r="P29" s="4"/>
      <c r="Q29" s="14"/>
      <c r="R29" s="14"/>
    </row>
    <row r="30" spans="1:18" ht="15.75" customHeight="1" x14ac:dyDescent="0.4">
      <c r="E30" s="141"/>
      <c r="F30" s="103"/>
      <c r="G30" s="142"/>
      <c r="H30" s="119"/>
      <c r="I30" s="26"/>
      <c r="N30" s="122"/>
      <c r="O30" s="122"/>
      <c r="Q30" s="5" t="s">
        <v>301</v>
      </c>
      <c r="R30" s="5" t="s">
        <v>301</v>
      </c>
    </row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</sheetData>
  <autoFilter ref="A8:P29" xr:uid="{00000000-0009-0000-0000-000000000000}"/>
  <mergeCells count="57">
    <mergeCell ref="N30:O30"/>
    <mergeCell ref="E30:F30"/>
    <mergeCell ref="G30:H30"/>
    <mergeCell ref="Q2:Q5"/>
    <mergeCell ref="E29:F29"/>
    <mergeCell ref="N29:O29"/>
    <mergeCell ref="E28:F28"/>
    <mergeCell ref="N28:O28"/>
    <mergeCell ref="E16:F16"/>
    <mergeCell ref="N16:O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15:F15"/>
    <mergeCell ref="N15:O15"/>
    <mergeCell ref="E14:F14"/>
    <mergeCell ref="N14:O14"/>
    <mergeCell ref="E13:F13"/>
    <mergeCell ref="N13:O13"/>
    <mergeCell ref="E12:F12"/>
    <mergeCell ref="N12:O12"/>
    <mergeCell ref="E11:F11"/>
    <mergeCell ref="N11:O11"/>
    <mergeCell ref="E8:F8"/>
    <mergeCell ref="N8:O8"/>
    <mergeCell ref="E10:F10"/>
    <mergeCell ref="N10:O10"/>
    <mergeCell ref="E9:F9"/>
    <mergeCell ref="N9:O9"/>
    <mergeCell ref="B7:D7"/>
    <mergeCell ref="E7:I7"/>
    <mergeCell ref="J7:L7"/>
    <mergeCell ref="B1:D1"/>
    <mergeCell ref="E1:I1"/>
    <mergeCell ref="E27:F27"/>
    <mergeCell ref="N7:P7"/>
    <mergeCell ref="N1:P1"/>
    <mergeCell ref="R2:R5"/>
    <mergeCell ref="C3:C5"/>
    <mergeCell ref="D3:D5"/>
    <mergeCell ref="F3:G3"/>
    <mergeCell ref="F4:G4"/>
    <mergeCell ref="F5:G5"/>
    <mergeCell ref="J2:L6"/>
    <mergeCell ref="M2:M6"/>
    <mergeCell ref="N2:N6"/>
    <mergeCell ref="O2:P6"/>
    <mergeCell ref="E2:E6"/>
    <mergeCell ref="F2:G2"/>
    <mergeCell ref="F6:I6"/>
  </mergeCells>
  <phoneticPr fontId="13" type="noConversion"/>
  <conditionalFormatting sqref="A9:A12">
    <cfRule type="expression" dxfId="16" priority="6">
      <formula>M9 = "On Hold"</formula>
    </cfRule>
  </conditionalFormatting>
  <conditionalFormatting sqref="A13">
    <cfRule type="expression" dxfId="15" priority="2">
      <formula>J13 = "On Hold"</formula>
    </cfRule>
  </conditionalFormatting>
  <conditionalFormatting sqref="A14:A29">
    <cfRule type="expression" dxfId="14" priority="1">
      <formula>M14 = "On Hold"</formula>
    </cfRule>
  </conditionalFormatting>
  <conditionalFormatting sqref="B2:B5 J9:P29">
    <cfRule type="cellIs" dxfId="13" priority="4" operator="equal">
      <formula>"Done"</formula>
    </cfRule>
    <cfRule type="cellIs" dxfId="12" priority="5" operator="equal">
      <formula>"On Hold"</formula>
    </cfRule>
    <cfRule type="cellIs" dxfId="11" priority="7" operator="equal">
      <formula>"Ready for Review"</formula>
    </cfRule>
    <cfRule type="cellIs" dxfId="10" priority="8" operator="equal">
      <formula>"In Review"</formula>
    </cfRule>
  </conditionalFormatting>
  <dataValidations count="7">
    <dataValidation type="list" allowBlank="1" sqref="B3 M9:M29" xr:uid="{B28169F5-2289-46F9-8B14-4FEF6FEAE375}">
      <formula1>Statuses</formula1>
    </dataValidation>
    <dataValidation type="list" allowBlank="1" sqref="B4:B5" xr:uid="{90D77C34-98E4-41B3-9C37-1D216F64E8A4}">
      <formula1>ETL_Statuses</formula1>
    </dataValidation>
    <dataValidation type="list" allowBlank="1" showErrorMessage="1" sqref="B2" xr:uid="{300A6549-9EB9-4F7D-BD46-6B92531AD26C}">
      <formula1>STT_Statuses</formula1>
    </dataValidation>
    <dataValidation type="list" allowBlank="1" sqref="B10:B29" xr:uid="{441FF34A-B4F9-4C54-91F1-6F9A8F7B532D}">
      <formula1>Data_Types</formula1>
    </dataValidation>
    <dataValidation type="list" allowBlank="1" sqref="E9:E29" xr:uid="{94A58112-A5F5-477B-A374-B541B8D6A3A0}">
      <formula1>Sources</formula1>
    </dataValidation>
    <dataValidation type="list" allowBlank="1" sqref="P9:P29" xr:uid="{228810B6-9675-414B-BA8D-56352CFB8647}">
      <formula1>Versions</formula1>
    </dataValidation>
    <dataValidation type="list" allowBlank="1" sqref="N9:N29" xr:uid="{4A1847B8-8F60-4506-A7FE-F088EDBA17D2}">
      <formula1>Categories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077A-F103-4ACF-A5B8-F3B98B2D2772}">
  <sheetPr>
    <tabColor theme="6" tint="0.59999389629810485"/>
    <outlinePr summaryBelow="0" summaryRight="0"/>
  </sheetPr>
  <dimension ref="A1:R149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6" sqref="C16"/>
    </sheetView>
  </sheetViews>
  <sheetFormatPr defaultColWidth="12.7109375" defaultRowHeight="15" customHeight="1" outlineLevelRow="1" outlineLevelCol="1" x14ac:dyDescent="0.2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349</v>
      </c>
      <c r="E3" s="105"/>
      <c r="F3" s="107" t="s">
        <v>350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11"/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37" t="s">
        <v>84</v>
      </c>
      <c r="B9" s="55" t="s">
        <v>50</v>
      </c>
      <c r="C9" s="36" t="e" vm="1">
        <v>#VALUE!</v>
      </c>
      <c r="D9" s="34" t="s">
        <v>85</v>
      </c>
      <c r="E9" s="99" t="s">
        <v>279</v>
      </c>
      <c r="F9" s="100"/>
      <c r="G9" s="17" t="s">
        <v>86</v>
      </c>
      <c r="H9" s="17" t="s">
        <v>84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37" t="s">
        <v>351</v>
      </c>
      <c r="B10" s="34" t="s">
        <v>38</v>
      </c>
      <c r="C10" s="36"/>
      <c r="D10" s="34" t="s">
        <v>352</v>
      </c>
      <c r="E10" s="99" t="s">
        <v>279</v>
      </c>
      <c r="F10" s="100"/>
      <c r="G10" s="17" t="s">
        <v>86</v>
      </c>
      <c r="H10" s="17" t="s">
        <v>351</v>
      </c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 x14ac:dyDescent="0.25">
      <c r="A11" s="37" t="s">
        <v>87</v>
      </c>
      <c r="B11" s="34" t="s">
        <v>38</v>
      </c>
      <c r="C11" s="36"/>
      <c r="D11" s="16" t="s">
        <v>88</v>
      </c>
      <c r="E11" s="99" t="s">
        <v>279</v>
      </c>
      <c r="F11" s="100"/>
      <c r="G11" s="17" t="s">
        <v>86</v>
      </c>
      <c r="H11" s="22" t="s">
        <v>87</v>
      </c>
      <c r="I11" s="17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37" t="s">
        <v>353</v>
      </c>
      <c r="B12" s="34" t="s">
        <v>38</v>
      </c>
      <c r="C12" s="36"/>
      <c r="D12" s="34" t="s">
        <v>354</v>
      </c>
      <c r="E12" s="95" t="s">
        <v>120</v>
      </c>
      <c r="F12" s="96"/>
      <c r="G12" s="17" t="s">
        <v>86</v>
      </c>
      <c r="H12" s="17" t="s">
        <v>353</v>
      </c>
      <c r="I12" s="23" t="s">
        <v>355</v>
      </c>
      <c r="J12" s="41"/>
      <c r="K12" s="12"/>
      <c r="L12" s="12"/>
      <c r="M12" s="49"/>
      <c r="N12" s="97"/>
      <c r="O12" s="98"/>
      <c r="P12" s="13"/>
      <c r="Q12" s="14"/>
      <c r="R12" s="14"/>
    </row>
    <row r="13" spans="1:18" ht="15.75" customHeight="1" outlineLevel="1" x14ac:dyDescent="0.25">
      <c r="A13" s="37" t="s">
        <v>356</v>
      </c>
      <c r="B13" s="34" t="s">
        <v>38</v>
      </c>
      <c r="C13" s="36"/>
      <c r="D13" s="34" t="s">
        <v>357</v>
      </c>
      <c r="E13" s="95" t="s">
        <v>120</v>
      </c>
      <c r="F13" s="96"/>
      <c r="G13" s="17" t="s">
        <v>86</v>
      </c>
      <c r="H13" s="17"/>
      <c r="I13" s="23" t="s">
        <v>358</v>
      </c>
      <c r="J13" s="41"/>
      <c r="K13" s="12"/>
      <c r="L13" s="12"/>
      <c r="M13" s="49"/>
      <c r="N13" s="97"/>
      <c r="O13" s="98"/>
      <c r="P13" s="13"/>
      <c r="Q13" s="14"/>
      <c r="R13" s="14"/>
    </row>
    <row r="14" spans="1:18" ht="15.75" customHeight="1" outlineLevel="1" x14ac:dyDescent="0.25">
      <c r="A14" s="37" t="s">
        <v>359</v>
      </c>
      <c r="B14" s="55" t="s">
        <v>50</v>
      </c>
      <c r="C14" s="36"/>
      <c r="D14" s="16" t="s">
        <v>360</v>
      </c>
      <c r="E14" s="99" t="s">
        <v>279</v>
      </c>
      <c r="F14" s="100"/>
      <c r="G14" s="17" t="s">
        <v>86</v>
      </c>
      <c r="H14" s="17" t="s">
        <v>359</v>
      </c>
      <c r="I14" s="23"/>
      <c r="J14" s="41"/>
      <c r="K14" s="12"/>
      <c r="L14" s="12"/>
      <c r="M14" s="49"/>
      <c r="N14" s="97"/>
      <c r="O14" s="98"/>
      <c r="P14" s="13"/>
      <c r="Q14" s="14"/>
      <c r="R14" s="14"/>
    </row>
    <row r="15" spans="1:18" ht="15.75" customHeight="1" outlineLevel="1" x14ac:dyDescent="0.25">
      <c r="A15" s="37" t="s">
        <v>361</v>
      </c>
      <c r="B15" s="34" t="s">
        <v>38</v>
      </c>
      <c r="C15" s="36"/>
      <c r="D15" s="16" t="s">
        <v>362</v>
      </c>
      <c r="E15" s="99" t="s">
        <v>279</v>
      </c>
      <c r="F15" s="100"/>
      <c r="G15" s="17" t="s">
        <v>86</v>
      </c>
      <c r="H15" s="17" t="s">
        <v>361</v>
      </c>
      <c r="I15" s="23"/>
      <c r="J15" s="41"/>
      <c r="K15" s="12"/>
      <c r="L15" s="12"/>
      <c r="M15" s="49"/>
      <c r="N15" s="97"/>
      <c r="O15" s="98"/>
      <c r="P15" s="13"/>
      <c r="Q15" s="14"/>
      <c r="R15" s="14"/>
    </row>
    <row r="16" spans="1:18" ht="15.75" customHeight="1" outlineLevel="1" x14ac:dyDescent="0.25">
      <c r="A16" s="37" t="s">
        <v>363</v>
      </c>
      <c r="B16" s="55" t="s">
        <v>50</v>
      </c>
      <c r="C16" s="36"/>
      <c r="D16" s="16" t="s">
        <v>364</v>
      </c>
      <c r="E16" s="99" t="s">
        <v>279</v>
      </c>
      <c r="F16" s="100"/>
      <c r="G16" s="17" t="s">
        <v>86</v>
      </c>
      <c r="H16" s="22" t="s">
        <v>363</v>
      </c>
      <c r="I16" s="23"/>
      <c r="J16" s="41"/>
      <c r="K16" s="12"/>
      <c r="L16" s="12"/>
      <c r="M16" s="49"/>
      <c r="N16" s="97"/>
      <c r="O16" s="98"/>
      <c r="P16" s="13"/>
      <c r="Q16" s="14"/>
      <c r="R16" s="14"/>
    </row>
    <row r="17" spans="1:18" ht="15.75" customHeight="1" outlineLevel="1" x14ac:dyDescent="0.25">
      <c r="A17" s="37" t="s">
        <v>365</v>
      </c>
      <c r="B17" s="55" t="s">
        <v>50</v>
      </c>
      <c r="C17" s="36"/>
      <c r="D17" s="34" t="s">
        <v>366</v>
      </c>
      <c r="E17" s="99" t="s">
        <v>279</v>
      </c>
      <c r="F17" s="100"/>
      <c r="G17" s="17" t="s">
        <v>86</v>
      </c>
      <c r="H17" s="22" t="s">
        <v>365</v>
      </c>
      <c r="I17" s="23"/>
      <c r="J17" s="41"/>
      <c r="K17" s="12"/>
      <c r="L17" s="12"/>
      <c r="M17" s="49"/>
      <c r="N17" s="97"/>
      <c r="O17" s="98"/>
      <c r="P17" s="13"/>
      <c r="Q17" s="14"/>
      <c r="R17" s="14"/>
    </row>
    <row r="18" spans="1:18" ht="15.75" customHeight="1" outlineLevel="1" x14ac:dyDescent="0.25">
      <c r="A18" s="37" t="s">
        <v>297</v>
      </c>
      <c r="B18" s="34" t="s">
        <v>38</v>
      </c>
      <c r="C18" s="36"/>
      <c r="D18" s="34" t="s">
        <v>367</v>
      </c>
      <c r="E18" s="99" t="s">
        <v>279</v>
      </c>
      <c r="F18" s="100"/>
      <c r="G18" s="17" t="s">
        <v>86</v>
      </c>
      <c r="H18" s="22" t="s">
        <v>297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 x14ac:dyDescent="0.25">
      <c r="A19" s="37" t="s">
        <v>299</v>
      </c>
      <c r="B19" s="34" t="s">
        <v>38</v>
      </c>
      <c r="C19" s="36"/>
      <c r="D19" s="16" t="s">
        <v>300</v>
      </c>
      <c r="E19" s="99" t="s">
        <v>279</v>
      </c>
      <c r="F19" s="100"/>
      <c r="G19" s="17" t="s">
        <v>368</v>
      </c>
      <c r="H19" s="22" t="s">
        <v>299</v>
      </c>
      <c r="I19" s="23"/>
      <c r="J19" s="41"/>
      <c r="K19" s="12"/>
      <c r="L19" s="12"/>
      <c r="M19" s="49"/>
      <c r="N19" s="97"/>
      <c r="O19" s="98"/>
      <c r="P19" s="13"/>
      <c r="Q19" s="14"/>
      <c r="R19" s="14"/>
    </row>
    <row r="20" spans="1:18" ht="15.75" customHeight="1" outlineLevel="1" x14ac:dyDescent="0.25">
      <c r="A20" s="70" t="s">
        <v>369</v>
      </c>
      <c r="B20" s="70" t="s">
        <v>38</v>
      </c>
      <c r="C20" s="36"/>
      <c r="D20" s="16" t="s">
        <v>370</v>
      </c>
      <c r="E20" s="95" t="s">
        <v>120</v>
      </c>
      <c r="F20" s="96"/>
      <c r="G20" s="17" t="s">
        <v>86</v>
      </c>
      <c r="H20" s="87" t="s">
        <v>371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 x14ac:dyDescent="0.25">
      <c r="A21" s="37" t="s">
        <v>372</v>
      </c>
      <c r="B21" s="55" t="s">
        <v>50</v>
      </c>
      <c r="C21" s="36"/>
      <c r="D21" s="34" t="s">
        <v>373</v>
      </c>
      <c r="E21" s="99" t="s">
        <v>279</v>
      </c>
      <c r="F21" s="100"/>
      <c r="G21" s="17" t="s">
        <v>368</v>
      </c>
      <c r="H21" s="22" t="s">
        <v>372</v>
      </c>
      <c r="I21" s="23"/>
      <c r="J21" s="41"/>
      <c r="K21" s="12"/>
      <c r="L21" s="12"/>
      <c r="M21" s="49"/>
      <c r="N21" s="97"/>
      <c r="O21" s="98"/>
      <c r="P21" s="13"/>
      <c r="Q21" s="14"/>
      <c r="R21" s="14"/>
    </row>
    <row r="22" spans="1:18" ht="15.75" customHeight="1" outlineLevel="1" x14ac:dyDescent="0.25">
      <c r="A22" s="37"/>
      <c r="B22" s="34"/>
      <c r="C22" s="36"/>
      <c r="D22" s="34"/>
      <c r="E22" s="46"/>
      <c r="F22" s="47"/>
      <c r="G22" s="17"/>
      <c r="H22" s="17"/>
      <c r="I22" s="48"/>
      <c r="J22" s="41"/>
      <c r="K22" s="12"/>
      <c r="L22" s="12"/>
      <c r="M22" s="45"/>
      <c r="N22" s="42"/>
      <c r="O22" s="43"/>
      <c r="P22" s="13"/>
      <c r="Q22" s="14"/>
      <c r="R22" s="14"/>
    </row>
    <row r="23" spans="1:18" ht="15.75" customHeight="1" outlineLevel="1" x14ac:dyDescent="0.25">
      <c r="A23" s="37"/>
      <c r="B23" s="34"/>
      <c r="C23" s="36"/>
      <c r="D23" s="34"/>
      <c r="E23" s="95"/>
      <c r="F23" s="96"/>
      <c r="G23" s="17"/>
      <c r="H23" s="22"/>
      <c r="I23" s="23"/>
      <c r="J23" s="41"/>
      <c r="K23" s="12"/>
      <c r="L23" s="12"/>
      <c r="M23" s="45"/>
      <c r="N23" s="97"/>
      <c r="O23" s="98"/>
      <c r="P23" s="13"/>
      <c r="Q23" s="14"/>
      <c r="R23" s="14"/>
    </row>
    <row r="24" spans="1:18" ht="15.75" customHeight="1" outlineLevel="1" x14ac:dyDescent="0.25">
      <c r="A24" s="38" t="s">
        <v>94</v>
      </c>
      <c r="B24" s="39"/>
      <c r="C24" s="40"/>
      <c r="D24" s="9"/>
      <c r="E24" s="95"/>
      <c r="F24" s="96"/>
      <c r="G24" s="17"/>
      <c r="H24" s="25"/>
      <c r="I24" s="24"/>
      <c r="J24" s="51"/>
      <c r="K24" s="3"/>
      <c r="L24" s="3"/>
      <c r="M24" s="49"/>
      <c r="N24" s="139"/>
      <c r="O24" s="140"/>
      <c r="P24" s="4"/>
      <c r="Q24" s="14"/>
      <c r="R24" s="14"/>
    </row>
    <row r="25" spans="1:18" ht="15.75" customHeight="1" x14ac:dyDescent="0.4">
      <c r="E25" s="141"/>
      <c r="F25" s="103"/>
      <c r="G25" s="142"/>
      <c r="H25" s="119"/>
      <c r="I25" s="26"/>
      <c r="N25" s="122"/>
      <c r="O25" s="122"/>
      <c r="Q25" s="5" t="s">
        <v>301</v>
      </c>
      <c r="R25" s="5" t="s">
        <v>301</v>
      </c>
    </row>
    <row r="26" spans="1:18" ht="15.75" customHeight="1" x14ac:dyDescent="0.2"/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</sheetData>
  <autoFilter ref="A8:P24" xr:uid="{00000000-0009-0000-0000-000000000000}"/>
  <mergeCells count="53">
    <mergeCell ref="E23:F23"/>
    <mergeCell ref="N23:O23"/>
    <mergeCell ref="E24:F24"/>
    <mergeCell ref="N24:O24"/>
    <mergeCell ref="E25:F25"/>
    <mergeCell ref="G25:H25"/>
    <mergeCell ref="N25:O25"/>
    <mergeCell ref="E21:F21"/>
    <mergeCell ref="N21:O21"/>
    <mergeCell ref="E18:F18"/>
    <mergeCell ref="E10:F10"/>
    <mergeCell ref="Q2:Q5"/>
    <mergeCell ref="E16:F16"/>
    <mergeCell ref="N16:O16"/>
    <mergeCell ref="E17:F17"/>
    <mergeCell ref="N17:O17"/>
    <mergeCell ref="E15:F15"/>
    <mergeCell ref="N15:O15"/>
    <mergeCell ref="E8:F8"/>
    <mergeCell ref="N8:O8"/>
    <mergeCell ref="E13:F13"/>
    <mergeCell ref="N13:O13"/>
    <mergeCell ref="E14:F14"/>
    <mergeCell ref="N7:P7"/>
    <mergeCell ref="N14:O14"/>
    <mergeCell ref="E12:F12"/>
    <mergeCell ref="N12:O12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E20:F20"/>
    <mergeCell ref="N19:O19"/>
    <mergeCell ref="E19:F19"/>
    <mergeCell ref="R2:R5"/>
    <mergeCell ref="C3:C5"/>
    <mergeCell ref="D3:D5"/>
    <mergeCell ref="F3:G3"/>
    <mergeCell ref="F4:G4"/>
    <mergeCell ref="F5:G5"/>
    <mergeCell ref="E9:F9"/>
    <mergeCell ref="N9:O9"/>
    <mergeCell ref="E11:F11"/>
    <mergeCell ref="N11:O11"/>
    <mergeCell ref="B7:D7"/>
    <mergeCell ref="E7:I7"/>
    <mergeCell ref="J7:L7"/>
  </mergeCells>
  <conditionalFormatting sqref="A9:A24">
    <cfRule type="expression" dxfId="9" priority="1">
      <formula>M9 = "On Hold"</formula>
    </cfRule>
  </conditionalFormatting>
  <conditionalFormatting sqref="B2:B5 J9:P24">
    <cfRule type="cellIs" dxfId="8" priority="2" operator="equal">
      <formula>"Done"</formula>
    </cfRule>
    <cfRule type="cellIs" dxfId="7" priority="3" operator="equal">
      <formula>"On Hold"</formula>
    </cfRule>
    <cfRule type="cellIs" dxfId="6" priority="5" operator="equal">
      <formula>"Ready for Review"</formula>
    </cfRule>
    <cfRule type="cellIs" dxfId="5" priority="6" operator="equal">
      <formula>"In Review"</formula>
    </cfRule>
  </conditionalFormatting>
  <dataValidations disablePrompts="1" count="7">
    <dataValidation type="list" allowBlank="1" sqref="B3 M9:M24" xr:uid="{D6309098-931F-424A-91C6-937A89D0551D}">
      <formula1>Statuses</formula1>
    </dataValidation>
    <dataValidation type="list" allowBlank="1" sqref="B4:B5" xr:uid="{5FB02644-E9B4-4AB8-B62D-30E3F8E5F58C}">
      <formula1>ETL_Statuses</formula1>
    </dataValidation>
    <dataValidation type="list" allowBlank="1" showErrorMessage="1" sqref="B2" xr:uid="{C5352E63-156F-41D0-9331-8A1CF57EFBA4}">
      <formula1>STT_Statuses</formula1>
    </dataValidation>
    <dataValidation type="list" allowBlank="1" sqref="B10:B13 B15 B18:B20 B22:B24" xr:uid="{EFBA93B7-0847-4AAC-A627-BC5BEC0188B7}">
      <formula1>Data_Types</formula1>
    </dataValidation>
    <dataValidation type="list" allowBlank="1" sqref="E12:E13 E22:E24" xr:uid="{012C05B8-486A-46AB-8621-A83DB270F548}">
      <formula1>Sources</formula1>
    </dataValidation>
    <dataValidation type="list" allowBlank="1" sqref="P9:P24" xr:uid="{502CE305-7D5A-47DC-BA0A-01A4A3348DDC}">
      <formula1>Versions</formula1>
    </dataValidation>
    <dataValidation type="list" allowBlank="1" sqref="N9:N24" xr:uid="{1EA5FD75-4C46-47E8-8193-B65339170165}">
      <formula1>Categories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2855-F183-4DC8-908D-6F66C58ED8A4}">
  <sheetPr>
    <tabColor theme="6" tint="0.59999389629810485"/>
    <outlinePr summaryBelow="0" summaryRight="0"/>
  </sheetPr>
  <dimension ref="A1:R144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9" sqref="G9:G13"/>
    </sheetView>
  </sheetViews>
  <sheetFormatPr defaultColWidth="12.7109375" defaultRowHeight="15" customHeight="1" outlineLevelRow="1" outlineLevelCol="1" x14ac:dyDescent="0.2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23.425781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 x14ac:dyDescent="0.2">
      <c r="A1" s="28"/>
      <c r="B1" s="118"/>
      <c r="C1" s="119"/>
      <c r="D1" s="119"/>
      <c r="E1" s="120"/>
      <c r="F1" s="119"/>
      <c r="G1" s="119"/>
      <c r="H1" s="119"/>
      <c r="I1" s="119"/>
      <c r="J1" s="2"/>
      <c r="K1" s="2"/>
      <c r="L1" s="2"/>
      <c r="M1" s="2"/>
      <c r="N1" s="121"/>
      <c r="O1" s="122"/>
      <c r="P1" s="122"/>
    </row>
    <row r="2" spans="1:18" ht="15.75" customHeight="1" outlineLevel="1" x14ac:dyDescent="0.2">
      <c r="A2" s="29" t="s">
        <v>0</v>
      </c>
      <c r="B2" s="29" t="s">
        <v>1</v>
      </c>
      <c r="C2" s="30"/>
      <c r="D2" s="31" t="s">
        <v>2</v>
      </c>
      <c r="E2" s="123" t="s">
        <v>3</v>
      </c>
      <c r="F2" s="109" t="s">
        <v>4</v>
      </c>
      <c r="G2" s="110"/>
      <c r="H2" s="19" t="s">
        <v>5</v>
      </c>
      <c r="I2" s="20"/>
      <c r="J2" s="124"/>
      <c r="K2" s="125"/>
      <c r="L2" s="126"/>
      <c r="M2" s="132" t="s">
        <v>6</v>
      </c>
      <c r="N2" s="135" t="s">
        <v>7</v>
      </c>
      <c r="O2" s="136"/>
      <c r="P2" s="126"/>
      <c r="Q2" s="137" t="s">
        <v>8</v>
      </c>
      <c r="R2" s="101" t="s">
        <v>9</v>
      </c>
    </row>
    <row r="3" spans="1:18" ht="15.75" customHeight="1" outlineLevel="1" x14ac:dyDescent="0.2">
      <c r="A3" s="29" t="s">
        <v>10</v>
      </c>
      <c r="B3" s="29"/>
      <c r="C3" s="103"/>
      <c r="D3" s="104" t="s">
        <v>374</v>
      </c>
      <c r="E3" s="105"/>
      <c r="F3" s="107" t="s">
        <v>375</v>
      </c>
      <c r="G3" s="108"/>
      <c r="H3" s="19" t="s">
        <v>13</v>
      </c>
      <c r="I3" s="20"/>
      <c r="J3" s="127"/>
      <c r="K3" s="101"/>
      <c r="L3" s="128"/>
      <c r="M3" s="133"/>
      <c r="N3" s="133"/>
      <c r="O3" s="127"/>
      <c r="P3" s="128"/>
      <c r="Q3" s="137"/>
      <c r="R3" s="101"/>
    </row>
    <row r="4" spans="1:18" ht="15.75" customHeight="1" outlineLevel="1" x14ac:dyDescent="0.2">
      <c r="A4" s="29" t="s">
        <v>14</v>
      </c>
      <c r="B4" s="29"/>
      <c r="C4" s="103"/>
      <c r="D4" s="105"/>
      <c r="E4" s="105"/>
      <c r="F4" s="109" t="s">
        <v>15</v>
      </c>
      <c r="G4" s="110"/>
      <c r="H4" s="19" t="s">
        <v>16</v>
      </c>
      <c r="I4" s="20"/>
      <c r="J4" s="127"/>
      <c r="K4" s="101"/>
      <c r="L4" s="128"/>
      <c r="M4" s="133"/>
      <c r="N4" s="133"/>
      <c r="O4" s="127"/>
      <c r="P4" s="128"/>
      <c r="Q4" s="137"/>
      <c r="R4" s="101"/>
    </row>
    <row r="5" spans="1:18" ht="15.75" customHeight="1" outlineLevel="1" x14ac:dyDescent="0.2">
      <c r="A5" s="29" t="s">
        <v>17</v>
      </c>
      <c r="B5" s="29"/>
      <c r="C5" s="103"/>
      <c r="D5" s="106"/>
      <c r="E5" s="105"/>
      <c r="F5" s="107" t="s">
        <v>18</v>
      </c>
      <c r="G5" s="108"/>
      <c r="H5" s="19" t="s">
        <v>19</v>
      </c>
      <c r="I5" s="20"/>
      <c r="J5" s="127"/>
      <c r="K5" s="101"/>
      <c r="L5" s="128"/>
      <c r="M5" s="133"/>
      <c r="N5" s="133"/>
      <c r="O5" s="127"/>
      <c r="P5" s="128"/>
      <c r="Q5" s="138"/>
      <c r="R5" s="102"/>
    </row>
    <row r="6" spans="1:18" ht="15.75" customHeight="1" outlineLevel="1" x14ac:dyDescent="0.2">
      <c r="A6" s="21"/>
      <c r="B6" s="21"/>
      <c r="C6" s="32" t="e" vm="1">
        <v>#VALUE!</v>
      </c>
      <c r="D6" s="21"/>
      <c r="E6" s="106"/>
      <c r="F6" s="103"/>
      <c r="G6" s="103"/>
      <c r="H6" s="103"/>
      <c r="I6" s="103"/>
      <c r="J6" s="129"/>
      <c r="K6" s="130"/>
      <c r="L6" s="131"/>
      <c r="M6" s="134"/>
      <c r="N6" s="134"/>
      <c r="O6" s="129"/>
      <c r="P6" s="131"/>
      <c r="Q6" s="10" t="s">
        <v>20</v>
      </c>
      <c r="R6" s="10" t="s">
        <v>20</v>
      </c>
    </row>
    <row r="7" spans="1:18" ht="15.75" customHeight="1" x14ac:dyDescent="0.25">
      <c r="A7" s="33" t="s">
        <v>21</v>
      </c>
      <c r="B7" s="111" t="s">
        <v>21</v>
      </c>
      <c r="C7" s="112"/>
      <c r="D7" s="112"/>
      <c r="E7" s="113" t="s">
        <v>22</v>
      </c>
      <c r="F7" s="112"/>
      <c r="G7" s="112"/>
      <c r="H7" s="112"/>
      <c r="I7" s="114"/>
      <c r="J7" s="115"/>
      <c r="K7" s="115"/>
      <c r="L7" s="116"/>
      <c r="M7" s="53" t="s">
        <v>23</v>
      </c>
      <c r="N7" s="117" t="s">
        <v>24</v>
      </c>
      <c r="O7" s="115"/>
      <c r="P7" s="116"/>
      <c r="Q7" s="11" t="s">
        <v>376</v>
      </c>
      <c r="R7" s="11"/>
    </row>
    <row r="8" spans="1:18" ht="15.75" customHeight="1" x14ac:dyDescent="0.25">
      <c r="A8" s="34" t="s">
        <v>26</v>
      </c>
      <c r="B8" s="34" t="s">
        <v>27</v>
      </c>
      <c r="C8" s="34" t="s">
        <v>28</v>
      </c>
      <c r="D8" s="35" t="s">
        <v>29</v>
      </c>
      <c r="E8" s="95" t="s">
        <v>30</v>
      </c>
      <c r="F8" s="114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97" t="s">
        <v>35</v>
      </c>
      <c r="O8" s="116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 x14ac:dyDescent="0.25">
      <c r="A9" s="37" t="s">
        <v>137</v>
      </c>
      <c r="B9" s="34" t="s">
        <v>38</v>
      </c>
      <c r="C9" s="36" t="e" vm="1">
        <v>#VALUE!</v>
      </c>
      <c r="D9" s="34" t="s">
        <v>377</v>
      </c>
      <c r="E9" s="95" t="s">
        <v>40</v>
      </c>
      <c r="F9" s="96"/>
      <c r="G9" s="17" t="s">
        <v>141</v>
      </c>
      <c r="H9" s="17" t="s">
        <v>137</v>
      </c>
      <c r="I9" s="23"/>
      <c r="J9" s="41"/>
      <c r="K9" s="12"/>
      <c r="L9" s="12"/>
      <c r="M9" s="49"/>
      <c r="N9" s="97" t="s">
        <v>42</v>
      </c>
      <c r="O9" s="98"/>
      <c r="P9" s="13" t="s">
        <v>43</v>
      </c>
      <c r="Q9" s="14"/>
      <c r="R9" s="14"/>
    </row>
    <row r="10" spans="1:18" ht="15.75" customHeight="1" outlineLevel="1" x14ac:dyDescent="0.25">
      <c r="A10" s="37" t="s">
        <v>127</v>
      </c>
      <c r="B10" s="34" t="s">
        <v>50</v>
      </c>
      <c r="C10" s="36"/>
      <c r="D10" s="34" t="s">
        <v>128</v>
      </c>
      <c r="E10" s="95" t="s">
        <v>40</v>
      </c>
      <c r="F10" s="96"/>
      <c r="G10" s="17" t="s">
        <v>141</v>
      </c>
      <c r="H10" s="17" t="s">
        <v>127</v>
      </c>
      <c r="I10" s="23"/>
      <c r="J10" s="41"/>
      <c r="K10" s="12"/>
      <c r="L10" s="12"/>
      <c r="M10" s="49"/>
      <c r="N10" s="97"/>
      <c r="O10" s="98"/>
      <c r="P10" s="13"/>
      <c r="Q10" s="14"/>
      <c r="R10" s="14"/>
    </row>
    <row r="11" spans="1:18" ht="15.75" customHeight="1" outlineLevel="1" x14ac:dyDescent="0.25">
      <c r="A11" s="37" t="s">
        <v>132</v>
      </c>
      <c r="B11" s="34" t="s">
        <v>50</v>
      </c>
      <c r="C11" s="36"/>
      <c r="D11" s="34" t="s">
        <v>133</v>
      </c>
      <c r="E11" s="95" t="s">
        <v>40</v>
      </c>
      <c r="F11" s="96"/>
      <c r="G11" s="17" t="s">
        <v>141</v>
      </c>
      <c r="H11" s="17" t="s">
        <v>132</v>
      </c>
      <c r="I11" s="23"/>
      <c r="J11" s="41"/>
      <c r="K11" s="12"/>
      <c r="L11" s="12"/>
      <c r="M11" s="49"/>
      <c r="N11" s="97"/>
      <c r="O11" s="98"/>
      <c r="P11" s="13"/>
      <c r="Q11" s="14"/>
      <c r="R11" s="14"/>
    </row>
    <row r="12" spans="1:18" ht="15.75" customHeight="1" outlineLevel="1" x14ac:dyDescent="0.25">
      <c r="A12" s="37" t="s">
        <v>378</v>
      </c>
      <c r="B12" s="34" t="s">
        <v>72</v>
      </c>
      <c r="C12" s="36"/>
      <c r="D12" s="16" t="s">
        <v>379</v>
      </c>
      <c r="E12" s="95" t="s">
        <v>40</v>
      </c>
      <c r="F12" s="96"/>
      <c r="G12" s="17" t="s">
        <v>141</v>
      </c>
      <c r="H12" s="17" t="s">
        <v>378</v>
      </c>
      <c r="I12" s="23"/>
      <c r="J12" s="41"/>
      <c r="K12" s="12"/>
      <c r="L12" s="12"/>
      <c r="M12" s="49"/>
      <c r="N12" s="97"/>
      <c r="O12" s="98"/>
      <c r="P12" s="13"/>
      <c r="Q12" s="14"/>
      <c r="R12" s="14"/>
    </row>
    <row r="13" spans="1:18" ht="15.75" customHeight="1" outlineLevel="1" x14ac:dyDescent="0.25">
      <c r="A13" s="37" t="s">
        <v>139</v>
      </c>
      <c r="B13" s="34" t="s">
        <v>38</v>
      </c>
      <c r="C13" s="36"/>
      <c r="D13" s="16" t="s">
        <v>140</v>
      </c>
      <c r="E13" s="95" t="s">
        <v>40</v>
      </c>
      <c r="F13" s="96"/>
      <c r="G13" s="17" t="s">
        <v>141</v>
      </c>
      <c r="H13" s="22" t="s">
        <v>139</v>
      </c>
      <c r="I13" s="23"/>
      <c r="J13" s="41"/>
      <c r="K13" s="12"/>
      <c r="L13" s="12"/>
      <c r="M13" s="49"/>
      <c r="N13" s="97"/>
      <c r="O13" s="98"/>
      <c r="P13" s="13"/>
      <c r="Q13" s="14"/>
      <c r="R13" s="14"/>
    </row>
    <row r="14" spans="1:18" ht="15.75" customHeight="1" outlineLevel="1" x14ac:dyDescent="0.25">
      <c r="A14" s="37"/>
      <c r="B14" s="34"/>
      <c r="C14" s="36"/>
      <c r="D14" s="34"/>
      <c r="E14" s="46"/>
      <c r="F14" s="47"/>
      <c r="G14" s="17"/>
      <c r="H14" s="22"/>
      <c r="I14" s="48"/>
      <c r="J14" s="41"/>
      <c r="K14" s="12"/>
      <c r="L14" s="12"/>
      <c r="M14" s="45"/>
      <c r="N14" s="42"/>
      <c r="O14" s="43"/>
      <c r="P14" s="13"/>
      <c r="Q14" s="14"/>
      <c r="R14" s="14"/>
    </row>
    <row r="15" spans="1:18" ht="15.75" customHeight="1" outlineLevel="1" x14ac:dyDescent="0.25">
      <c r="A15" s="37"/>
      <c r="B15" s="34"/>
      <c r="C15" s="36"/>
      <c r="D15" s="34"/>
      <c r="E15" s="95"/>
      <c r="F15" s="96"/>
      <c r="G15" s="17"/>
      <c r="H15" s="22"/>
      <c r="I15" s="23"/>
      <c r="J15" s="41"/>
      <c r="K15" s="12"/>
      <c r="L15" s="12"/>
      <c r="M15" s="45"/>
      <c r="N15" s="97"/>
      <c r="O15" s="98"/>
      <c r="P15" s="13"/>
      <c r="Q15" s="14"/>
      <c r="R15" s="14"/>
    </row>
    <row r="16" spans="1:18" ht="15.75" customHeight="1" outlineLevel="1" x14ac:dyDescent="0.25">
      <c r="A16" s="38" t="s">
        <v>94</v>
      </c>
      <c r="B16" s="39"/>
      <c r="C16" s="40"/>
      <c r="D16" s="9"/>
      <c r="E16" s="95"/>
      <c r="F16" s="96"/>
      <c r="G16" s="17"/>
      <c r="H16" s="25"/>
      <c r="I16" s="24"/>
      <c r="J16" s="51"/>
      <c r="K16" s="3"/>
      <c r="L16" s="3"/>
      <c r="M16" s="49"/>
      <c r="N16" s="139"/>
      <c r="O16" s="140"/>
      <c r="P16" s="4"/>
      <c r="Q16" s="14"/>
      <c r="R16" s="14"/>
    </row>
    <row r="17" spans="5:15" ht="15.75" customHeight="1" x14ac:dyDescent="0.2">
      <c r="E17" s="141"/>
      <c r="F17" s="103"/>
      <c r="G17" s="142"/>
      <c r="H17" s="119"/>
      <c r="I17" s="26"/>
      <c r="N17" s="122"/>
      <c r="O17" s="122"/>
    </row>
    <row r="18" spans="5:15" ht="15.75" customHeight="1" x14ac:dyDescent="0.2"/>
    <row r="19" spans="5:15" ht="15.75" customHeight="1" x14ac:dyDescent="0.2"/>
    <row r="20" spans="5:15" ht="15.75" customHeight="1" x14ac:dyDescent="0.2"/>
    <row r="21" spans="5:15" ht="15.75" customHeight="1" x14ac:dyDescent="0.2"/>
    <row r="22" spans="5:15" ht="15.75" customHeight="1" x14ac:dyDescent="0.2"/>
    <row r="23" spans="5:15" ht="15.75" customHeight="1" x14ac:dyDescent="0.2"/>
    <row r="24" spans="5:15" ht="15.75" customHeight="1" x14ac:dyDescent="0.2"/>
    <row r="25" spans="5:15" ht="15.75" customHeight="1" x14ac:dyDescent="0.2"/>
    <row r="26" spans="5:15" ht="15.75" customHeight="1" x14ac:dyDescent="0.2"/>
    <row r="27" spans="5:15" ht="15.75" customHeight="1" x14ac:dyDescent="0.2"/>
    <row r="28" spans="5:15" ht="15.75" customHeight="1" x14ac:dyDescent="0.2"/>
    <row r="29" spans="5:15" ht="15.75" customHeight="1" x14ac:dyDescent="0.2"/>
    <row r="30" spans="5:15" ht="15.75" customHeight="1" x14ac:dyDescent="0.2"/>
    <row r="31" spans="5:15" ht="15.75" customHeight="1" x14ac:dyDescent="0.2"/>
    <row r="32" spans="5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</sheetData>
  <autoFilter ref="A8:P16" xr:uid="{00000000-0009-0000-0000-000000000000}"/>
  <mergeCells count="40">
    <mergeCell ref="E13:F13"/>
    <mergeCell ref="N13:O13"/>
    <mergeCell ref="R2:R5"/>
    <mergeCell ref="E15:F15"/>
    <mergeCell ref="N15:O15"/>
    <mergeCell ref="E11:F11"/>
    <mergeCell ref="N11:O11"/>
    <mergeCell ref="E12:F12"/>
    <mergeCell ref="N12:O12"/>
    <mergeCell ref="E10:F10"/>
    <mergeCell ref="N10:O10"/>
    <mergeCell ref="E9:F9"/>
    <mergeCell ref="N9:O9"/>
    <mergeCell ref="Q2:Q5"/>
    <mergeCell ref="E16:F16"/>
    <mergeCell ref="N16:O16"/>
    <mergeCell ref="E17:F17"/>
    <mergeCell ref="G17:H17"/>
    <mergeCell ref="N17:O17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C3:C5"/>
    <mergeCell ref="D3:D5"/>
    <mergeCell ref="F3:G3"/>
    <mergeCell ref="F4:G4"/>
    <mergeCell ref="F5:G5"/>
  </mergeCells>
  <conditionalFormatting sqref="A9:A16">
    <cfRule type="expression" dxfId="4" priority="5">
      <formula>M9 = "On Hold"</formula>
    </cfRule>
  </conditionalFormatting>
  <conditionalFormatting sqref="B2:B5 J9:P16">
    <cfRule type="cellIs" dxfId="3" priority="3" operator="equal">
      <formula>"Done"</formula>
    </cfRule>
    <cfRule type="cellIs" dxfId="2" priority="4" operator="equal">
      <formula>"On Hold"</formula>
    </cfRule>
    <cfRule type="cellIs" dxfId="1" priority="6" operator="equal">
      <formula>"Ready for Review"</formula>
    </cfRule>
    <cfRule type="cellIs" dxfId="0" priority="7" operator="equal">
      <formula>"In Review"</formula>
    </cfRule>
  </conditionalFormatting>
  <dataValidations disablePrompts="1" count="7">
    <dataValidation type="list" allowBlank="1" showErrorMessage="1" sqref="B2" xr:uid="{1D419E36-7FC1-458F-8861-AE32A98B0D34}">
      <formula1>STT_Statuses</formula1>
    </dataValidation>
    <dataValidation type="list" allowBlank="1" sqref="B4:B5" xr:uid="{CAEFA34C-389B-4D94-B578-FE6A8B9A3A39}">
      <formula1>ETL_Statuses</formula1>
    </dataValidation>
    <dataValidation type="list" allowBlank="1" sqref="B3 M9:M16" xr:uid="{BBD83AD3-8AA6-4A94-BBFB-21DA74516EF0}">
      <formula1>Statuses</formula1>
    </dataValidation>
    <dataValidation type="list" allowBlank="1" sqref="B9:B16" xr:uid="{FF1BDA3D-ED83-4B25-ABCD-DB7A54E03931}">
      <formula1>Data_Types</formula1>
    </dataValidation>
    <dataValidation type="list" allowBlank="1" sqref="N9:N16" xr:uid="{8E66E3FA-537B-4FEE-95D1-DEC907A07FFF}">
      <formula1>Categories</formula1>
    </dataValidation>
    <dataValidation type="list" allowBlank="1" sqref="P9:P16" xr:uid="{78EA5D5B-197B-450B-AC5E-7C30DA07020A}">
      <formula1>Versions</formula1>
    </dataValidation>
    <dataValidation type="list" allowBlank="1" sqref="E9:E16" xr:uid="{0A40E97B-1FEE-488E-A605-70DF54123D5F}">
      <formula1>Sources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EABD-37E1-474A-A9D8-4444F3ECA48F}">
  <dimension ref="A1:B18"/>
  <sheetViews>
    <sheetView workbookViewId="0">
      <selection activeCell="B3" sqref="B3"/>
    </sheetView>
  </sheetViews>
  <sheetFormatPr defaultRowHeight="12.75" x14ac:dyDescent="0.2"/>
  <cols>
    <col min="2" max="2" width="34.42578125" customWidth="1"/>
  </cols>
  <sheetData>
    <row r="1" spans="1:2" x14ac:dyDescent="0.2">
      <c r="B1" t="s">
        <v>380</v>
      </c>
    </row>
    <row r="3" spans="1:2" x14ac:dyDescent="0.2">
      <c r="A3">
        <v>1</v>
      </c>
      <c r="B3" t="s">
        <v>381</v>
      </c>
    </row>
    <row r="4" spans="1:2" x14ac:dyDescent="0.2">
      <c r="A4">
        <v>2</v>
      </c>
      <c r="B4" t="s">
        <v>382</v>
      </c>
    </row>
    <row r="5" spans="1:2" x14ac:dyDescent="0.2">
      <c r="A5">
        <v>3</v>
      </c>
      <c r="B5" t="s">
        <v>368</v>
      </c>
    </row>
    <row r="6" spans="1:2" x14ac:dyDescent="0.2">
      <c r="A6">
        <v>4</v>
      </c>
      <c r="B6" t="s">
        <v>383</v>
      </c>
    </row>
    <row r="7" spans="1:2" x14ac:dyDescent="0.2">
      <c r="A7">
        <v>5</v>
      </c>
      <c r="B7" t="s">
        <v>311</v>
      </c>
    </row>
    <row r="8" spans="1:2" x14ac:dyDescent="0.2">
      <c r="A8">
        <v>6</v>
      </c>
      <c r="B8" t="s">
        <v>384</v>
      </c>
    </row>
    <row r="9" spans="1:2" x14ac:dyDescent="0.2">
      <c r="A9">
        <v>7</v>
      </c>
      <c r="B9" t="s">
        <v>385</v>
      </c>
    </row>
    <row r="10" spans="1:2" x14ac:dyDescent="0.2">
      <c r="A10">
        <v>8</v>
      </c>
      <c r="B10" t="s">
        <v>386</v>
      </c>
    </row>
    <row r="11" spans="1:2" x14ac:dyDescent="0.2">
      <c r="A11">
        <v>9</v>
      </c>
      <c r="B11" t="s">
        <v>387</v>
      </c>
    </row>
    <row r="12" spans="1:2" x14ac:dyDescent="0.2">
      <c r="A12">
        <v>10</v>
      </c>
      <c r="B12" t="s">
        <v>388</v>
      </c>
    </row>
    <row r="13" spans="1:2" x14ac:dyDescent="0.2">
      <c r="A13">
        <v>11</v>
      </c>
      <c r="B13" t="s">
        <v>389</v>
      </c>
    </row>
    <row r="14" spans="1:2" x14ac:dyDescent="0.2">
      <c r="A14">
        <v>12</v>
      </c>
      <c r="B14" t="s">
        <v>390</v>
      </c>
    </row>
    <row r="15" spans="1:2" x14ac:dyDescent="0.2">
      <c r="A15">
        <v>13</v>
      </c>
      <c r="B15" t="s">
        <v>391</v>
      </c>
    </row>
    <row r="16" spans="1:2" x14ac:dyDescent="0.2">
      <c r="A16">
        <v>14</v>
      </c>
      <c r="B16" t="s">
        <v>376</v>
      </c>
    </row>
    <row r="17" spans="1:2" x14ac:dyDescent="0.2">
      <c r="A17">
        <v>15</v>
      </c>
      <c r="B17" t="s">
        <v>392</v>
      </c>
    </row>
    <row r="18" spans="1:2" x14ac:dyDescent="0.2">
      <c r="A18">
        <v>16</v>
      </c>
      <c r="B18" t="s">
        <v>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2"/>
  <sheetViews>
    <sheetView workbookViewId="0">
      <selection activeCell="A39" sqref="A39:A45"/>
    </sheetView>
  </sheetViews>
  <sheetFormatPr defaultColWidth="12.7109375" defaultRowHeight="15" customHeight="1" x14ac:dyDescent="0.2"/>
  <cols>
    <col min="1" max="1" width="15" customWidth="1"/>
    <col min="2" max="3" width="18.42578125" customWidth="1"/>
    <col min="4" max="6" width="12.7109375" customWidth="1"/>
  </cols>
  <sheetData>
    <row r="1" spans="1:1" ht="15.75" customHeight="1" x14ac:dyDescent="0.2">
      <c r="A1" s="6" t="s">
        <v>394</v>
      </c>
    </row>
    <row r="2" spans="1:1" ht="15.75" customHeight="1" x14ac:dyDescent="0.2">
      <c r="A2" s="7" t="s">
        <v>18</v>
      </c>
    </row>
    <row r="3" spans="1:1" ht="15.75" customHeight="1" x14ac:dyDescent="0.2">
      <c r="A3" s="7" t="s">
        <v>395</v>
      </c>
    </row>
    <row r="4" spans="1:1" ht="15.75" customHeight="1" x14ac:dyDescent="0.2">
      <c r="A4" s="7" t="s">
        <v>396</v>
      </c>
    </row>
    <row r="5" spans="1:1" ht="15.75" customHeight="1" x14ac:dyDescent="0.2">
      <c r="A5" s="7" t="s">
        <v>40</v>
      </c>
    </row>
    <row r="6" spans="1:1" ht="15.75" customHeight="1" x14ac:dyDescent="0.2">
      <c r="A6" s="7" t="s">
        <v>120</v>
      </c>
    </row>
    <row r="7" spans="1:1" ht="15.75" customHeight="1" x14ac:dyDescent="0.2">
      <c r="A7" s="7" t="s">
        <v>397</v>
      </c>
    </row>
    <row r="8" spans="1:1" ht="15.75" customHeight="1" x14ac:dyDescent="0.2"/>
    <row r="9" spans="1:1" ht="15.75" customHeight="1" x14ac:dyDescent="0.2">
      <c r="A9" s="6" t="s">
        <v>398</v>
      </c>
    </row>
    <row r="10" spans="1:1" ht="15.75" customHeight="1" x14ac:dyDescent="0.2">
      <c r="A10" s="7" t="s">
        <v>7</v>
      </c>
    </row>
    <row r="11" spans="1:1" ht="15.75" customHeight="1" x14ac:dyDescent="0.2">
      <c r="A11" s="7" t="s">
        <v>42</v>
      </c>
    </row>
    <row r="12" spans="1:1" ht="15.75" customHeight="1" x14ac:dyDescent="0.2">
      <c r="A12" s="7" t="s">
        <v>399</v>
      </c>
    </row>
    <row r="13" spans="1:1" ht="15.75" customHeight="1" x14ac:dyDescent="0.2">
      <c r="A13" s="7" t="s">
        <v>400</v>
      </c>
    </row>
    <row r="14" spans="1:1" ht="15.75" customHeight="1" x14ac:dyDescent="0.2"/>
    <row r="15" spans="1:1" ht="15.75" customHeight="1" x14ac:dyDescent="0.2">
      <c r="A15" s="6" t="s">
        <v>401</v>
      </c>
    </row>
    <row r="16" spans="1:1" ht="15.75" customHeight="1" x14ac:dyDescent="0.2">
      <c r="A16" s="7" t="s">
        <v>43</v>
      </c>
    </row>
    <row r="17" spans="1:1" ht="15.75" customHeight="1" x14ac:dyDescent="0.2">
      <c r="A17" s="7" t="s">
        <v>402</v>
      </c>
    </row>
    <row r="18" spans="1:1" ht="15.75" customHeight="1" x14ac:dyDescent="0.2">
      <c r="A18" s="7" t="s">
        <v>403</v>
      </c>
    </row>
    <row r="19" spans="1:1" ht="15.75" customHeight="1" x14ac:dyDescent="0.2"/>
    <row r="20" spans="1:1" ht="15.75" customHeight="1" x14ac:dyDescent="0.2">
      <c r="A20" s="8" t="s">
        <v>404</v>
      </c>
    </row>
    <row r="21" spans="1:1" ht="15.75" customHeight="1" x14ac:dyDescent="0.2">
      <c r="A21" s="7" t="s">
        <v>1</v>
      </c>
    </row>
    <row r="22" spans="1:1" ht="15.75" customHeight="1" x14ac:dyDescent="0.2">
      <c r="A22" s="7" t="s">
        <v>405</v>
      </c>
    </row>
    <row r="23" spans="1:1" ht="15.75" customHeight="1" x14ac:dyDescent="0.2">
      <c r="A23" s="7" t="s">
        <v>406</v>
      </c>
    </row>
    <row r="24" spans="1:1" ht="15.75" customHeight="1" x14ac:dyDescent="0.2">
      <c r="A24" s="7" t="s">
        <v>407</v>
      </c>
    </row>
    <row r="25" spans="1:1" ht="15.75" customHeight="1" x14ac:dyDescent="0.2">
      <c r="A25" s="7" t="s">
        <v>408</v>
      </c>
    </row>
    <row r="26" spans="1:1" ht="15.75" customHeight="1" x14ac:dyDescent="0.2"/>
    <row r="27" spans="1:1" ht="15.75" customHeight="1" x14ac:dyDescent="0.2">
      <c r="A27" s="8" t="s">
        <v>409</v>
      </c>
    </row>
    <row r="28" spans="1:1" ht="15.75" customHeight="1" x14ac:dyDescent="0.2">
      <c r="A28" s="7" t="s">
        <v>1</v>
      </c>
    </row>
    <row r="29" spans="1:1" ht="15.75" customHeight="1" x14ac:dyDescent="0.2">
      <c r="A29" s="7" t="s">
        <v>407</v>
      </c>
    </row>
    <row r="30" spans="1:1" ht="15.75" customHeight="1" x14ac:dyDescent="0.2">
      <c r="A30" s="7" t="s">
        <v>410</v>
      </c>
    </row>
    <row r="31" spans="1:1" ht="15.75" customHeight="1" x14ac:dyDescent="0.2">
      <c r="A31" s="7" t="s">
        <v>411</v>
      </c>
    </row>
    <row r="32" spans="1:1" ht="15.75" customHeight="1" x14ac:dyDescent="0.2"/>
    <row r="33" spans="1:3" ht="15.75" customHeight="1" x14ac:dyDescent="0.2">
      <c r="A33" s="8" t="s">
        <v>412</v>
      </c>
    </row>
    <row r="34" spans="1:3" ht="15.75" customHeight="1" x14ac:dyDescent="0.2">
      <c r="A34" s="7" t="s">
        <v>1</v>
      </c>
    </row>
    <row r="35" spans="1:3" ht="15.75" customHeight="1" x14ac:dyDescent="0.2">
      <c r="A35" s="7" t="s">
        <v>407</v>
      </c>
    </row>
    <row r="36" spans="1:3" ht="15.75" customHeight="1" x14ac:dyDescent="0.2">
      <c r="A36" s="7" t="s">
        <v>408</v>
      </c>
    </row>
    <row r="37" spans="1:3" ht="15.75" customHeight="1" x14ac:dyDescent="0.2"/>
    <row r="38" spans="1:3" ht="15.75" customHeight="1" x14ac:dyDescent="0.2">
      <c r="A38" s="8" t="s">
        <v>413</v>
      </c>
      <c r="B38" s="8" t="s">
        <v>414</v>
      </c>
      <c r="C38" s="6"/>
    </row>
    <row r="39" spans="1:3" ht="15.75" customHeight="1" x14ac:dyDescent="0.2">
      <c r="A39" s="1" t="s">
        <v>50</v>
      </c>
      <c r="B39" s="1" t="s">
        <v>50</v>
      </c>
      <c r="C39" s="1"/>
    </row>
    <row r="40" spans="1:3" ht="15.75" customHeight="1" x14ac:dyDescent="0.2">
      <c r="A40" s="1" t="s">
        <v>50</v>
      </c>
      <c r="B40" s="1" t="s">
        <v>50</v>
      </c>
      <c r="C40" s="1"/>
    </row>
    <row r="41" spans="1:3" ht="15.75" customHeight="1" x14ac:dyDescent="0.2">
      <c r="A41" s="1" t="s">
        <v>72</v>
      </c>
      <c r="B41" s="1" t="s">
        <v>72</v>
      </c>
      <c r="C41" s="1"/>
    </row>
    <row r="42" spans="1:3" ht="15.75" customHeight="1" x14ac:dyDescent="0.2">
      <c r="A42" s="1" t="str">
        <f t="shared" ref="A42:A49" si="0">B42</f>
        <v>string</v>
      </c>
      <c r="B42" s="1" t="s">
        <v>38</v>
      </c>
      <c r="C42" s="1"/>
    </row>
    <row r="43" spans="1:3" ht="15.75" customHeight="1" x14ac:dyDescent="0.2">
      <c r="A43" s="1" t="str">
        <f t="shared" si="0"/>
        <v>boolean</v>
      </c>
      <c r="B43" s="1" t="s">
        <v>415</v>
      </c>
      <c r="C43" s="1"/>
    </row>
    <row r="44" spans="1:3" ht="15.75" customHeight="1" x14ac:dyDescent="0.2">
      <c r="A44" s="1" t="str">
        <f t="shared" si="0"/>
        <v>date</v>
      </c>
      <c r="B44" s="1" t="s">
        <v>45</v>
      </c>
      <c r="C44" s="1"/>
    </row>
    <row r="45" spans="1:3" ht="15.75" customHeight="1" x14ac:dyDescent="0.2">
      <c r="A45" s="1" t="s">
        <v>416</v>
      </c>
      <c r="B45" s="1" t="s">
        <v>416</v>
      </c>
      <c r="C45" s="1"/>
    </row>
    <row r="46" spans="1:3" ht="15.75" customHeight="1" x14ac:dyDescent="0.2">
      <c r="A46" s="1" t="str">
        <f t="shared" si="0"/>
        <v>variant</v>
      </c>
      <c r="B46" s="1" t="s">
        <v>417</v>
      </c>
      <c r="C46" s="1"/>
    </row>
    <row r="47" spans="1:3" ht="15.75" customHeight="1" x14ac:dyDescent="0.2">
      <c r="A47" s="1" t="str">
        <f t="shared" si="0"/>
        <v>object</v>
      </c>
      <c r="B47" s="1" t="s">
        <v>418</v>
      </c>
      <c r="C47" s="1"/>
    </row>
    <row r="48" spans="1:3" ht="15.75" customHeight="1" x14ac:dyDescent="0.2">
      <c r="A48" s="1" t="str">
        <f t="shared" si="0"/>
        <v>array</v>
      </c>
      <c r="B48" s="1" t="s">
        <v>419</v>
      </c>
      <c r="C48" s="1"/>
    </row>
    <row r="49" spans="1:3" ht="15.75" customHeight="1" x14ac:dyDescent="0.2">
      <c r="A49" s="1" t="str">
        <f t="shared" si="0"/>
        <v>geography</v>
      </c>
      <c r="B49" s="1" t="s">
        <v>420</v>
      </c>
      <c r="C49" s="1"/>
    </row>
    <row r="50" spans="1:3" ht="15.75" customHeight="1" x14ac:dyDescent="0.2"/>
    <row r="51" spans="1:3" ht="15.75" customHeight="1" x14ac:dyDescent="0.2"/>
    <row r="52" spans="1:3" ht="15.75" customHeight="1" x14ac:dyDescent="0.2"/>
    <row r="53" spans="1:3" ht="15.75" customHeight="1" x14ac:dyDescent="0.2"/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195B23-FD77-4D93-8E6C-7D8551A4FF4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6C27027-FCAC-4D07-A4DC-E4C788B60D15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509b7683-c015-44e4-bdf6-5cb592c6569c"/>
    <ds:schemaRef ds:uri="http://schemas.microsoft.com/office/2006/documentManagement/types"/>
    <ds:schemaRef ds:uri="http://purl.org/dc/terms/"/>
    <ds:schemaRef ds:uri="38f89215-5b2e-4ad2-81d8-21f0bc017b4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63465D4-5AA7-4FBC-8C0C-04E72A1E9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b7683-c015-44e4-bdf6-5cb592c6569c"/>
    <ds:schemaRef ds:uri="38f89215-5b2e-4ad2-81d8-21f0bc017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876A2EA-2FEA-45E5-BB68-7A50710F28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dwh_aa_fact_achievement_persona</vt:lpstr>
      <vt:lpstr>dwh_aa_fact_achievement_group</vt:lpstr>
      <vt:lpstr>dwh_aa_fact_athlete</vt:lpstr>
      <vt:lpstr>dwh_aa_fact_support_request_spo</vt:lpstr>
      <vt:lpstr>dwh_aa_fact_trainers</vt:lpstr>
      <vt:lpstr>dwh_aa_fact_office_roles_sport</vt:lpstr>
      <vt:lpstr>dwh_aa_fact_budget_pct</vt:lpstr>
      <vt:lpstr>dwh_aa_dim_association</vt:lpstr>
      <vt:lpstr>dwh_aa_dim_society</vt:lpstr>
      <vt:lpstr>dwh_aa_dim_authority</vt:lpstr>
      <vt:lpstr>dwh_aa_dim_branchs</vt:lpstr>
      <vt:lpstr>dwh_aa_dim_teams</vt:lpstr>
      <vt:lpstr>tables list</vt:lpstr>
      <vt:lpstr>Lists</vt:lpstr>
      <vt:lpstr>Categories</vt:lpstr>
      <vt:lpstr>Data_Types</vt:lpstr>
      <vt:lpstr>ETL_Statuses</vt:lpstr>
      <vt:lpstr>Sources</vt:lpstr>
      <vt:lpstr>Statuses</vt:lpstr>
      <vt:lpstr>STT_Statuses</vt:lpstr>
      <vt:lpstr>Versions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איילה</dc:creator>
  <cp:keywords/>
  <dc:description/>
  <cp:lastModifiedBy>Or Esh Bar Sela</cp:lastModifiedBy>
  <cp:revision/>
  <dcterms:created xsi:type="dcterms:W3CDTF">2025-09-16T08:32:11Z</dcterms:created>
  <dcterms:modified xsi:type="dcterms:W3CDTF">2026-08-18T13:23:49Z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