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1"/>
  <workbookPr/>
  <mc:AlternateContent xmlns:mc="http://schemas.openxmlformats.org/markup-compatibility/2006">
    <mc:Choice Requires="x15">
      <x15ac:absPath xmlns:x15ac="http://schemas.microsoft.com/office/spreadsheetml/2010/11/ac" url="https://eladsoftwaresystems.sharepoint.com/sites/msteams_e5ead2/Shared Documents/Content/איפיונים/LLD/"/>
    </mc:Choice>
  </mc:AlternateContent>
  <xr:revisionPtr revIDLastSave="551" documentId="8_{16FCA5BA-BEF1-4CFC-B557-3542694293C6}" xr6:coauthVersionLast="47" xr6:coauthVersionMax="47" xr10:uidLastSave="{DD5DA748-BC2B-4943-AFA3-929E16137B7A}"/>
  <bookViews>
    <workbookView xWindow="16080" yWindow="105" windowWidth="29040" windowHeight="15720" tabRatio="862" firstSheet="2" activeTab="9" xr2:uid="{00000000-000D-0000-FFFF-FFFF00000000}"/>
  </bookViews>
  <sheets>
    <sheet name="dwh_aa_fact_achievement_persona" sheetId="40" r:id="rId1"/>
    <sheet name="dwh_aa_fact_achievement_group" sheetId="39" r:id="rId2"/>
    <sheet name="dwh_aa_fact_athlete" sheetId="27" r:id="rId3"/>
    <sheet name="dwh_aa_fact_support_request_spo" sheetId="28" r:id="rId4"/>
    <sheet name="Sheet1" sheetId="43" r:id="rId5"/>
    <sheet name="dwh_aa_fact_trainers" sheetId="37" r:id="rId6"/>
    <sheet name="dwh_aa_fact_office_roles_sport" sheetId="38" r:id="rId7"/>
    <sheet name="dwh_aa_fact_budget_pct" sheetId="41" r:id="rId8"/>
    <sheet name="dwh_aa_fact_Facilities" sheetId="42" r:id="rId9"/>
    <sheet name="dwh_aa_fact_Dashboard_views" sheetId="44" r:id="rId10"/>
    <sheet name="dwh_aa_dim_Dashboard" sheetId="45" r:id="rId11"/>
    <sheet name="dwh_aa_dim_association" sheetId="35" r:id="rId12"/>
    <sheet name="dwh_aa_dim_society" sheetId="22" r:id="rId13"/>
    <sheet name="dwh_aa_dim_authority" sheetId="17" r:id="rId14"/>
    <sheet name="dwh_aa_dim_branchs" sheetId="36" r:id="rId15"/>
    <sheet name="dwh_aa_dim_teams" sheetId="29" r:id="rId16"/>
    <sheet name="tables list" sheetId="12" r:id="rId17"/>
    <sheet name="Lists" sheetId="2" r:id="rId18"/>
  </sheets>
  <definedNames>
    <definedName name="_xlnm._FilterDatabase" localSheetId="11" hidden="1">dwh_aa_dim_association!$A$8:$P$17</definedName>
    <definedName name="_xlnm._FilterDatabase" localSheetId="10" hidden="1">dwh_aa_dim_Dashboard!$A$8:$P$16</definedName>
    <definedName name="_xlnm._FilterDatabase" localSheetId="13" hidden="1">dwh_aa_dim_authority!$A$8:$P$29</definedName>
    <definedName name="_xlnm._FilterDatabase" localSheetId="14" hidden="1">dwh_aa_dim_branchs!$A$8:$P$24</definedName>
    <definedName name="_xlnm._FilterDatabase" localSheetId="12" hidden="1">dwh_aa_dim_society!$A$8:$M$14</definedName>
    <definedName name="_xlnm._FilterDatabase" localSheetId="15" hidden="1">dwh_aa_dim_teams!$A$8:$P$16</definedName>
    <definedName name="_xlnm._FilterDatabase" localSheetId="1" hidden="1">dwh_aa_fact_achievement_group!$A$8:$P$23</definedName>
    <definedName name="_xlnm._FilterDatabase" localSheetId="0" hidden="1">dwh_aa_fact_achievement_persona!$A$8:$P$37</definedName>
    <definedName name="_xlnm._FilterDatabase" localSheetId="2" hidden="1">dwh_aa_fact_athlete!$A$8:$P$46</definedName>
    <definedName name="_xlnm._FilterDatabase" localSheetId="7" hidden="1">dwh_aa_fact_budget_pct!$A$8:$P$18</definedName>
    <definedName name="_xlnm._FilterDatabase" localSheetId="9" hidden="1">dwh_aa_fact_Dashboard_views!$A$8:$P$18</definedName>
    <definedName name="_xlnm._FilterDatabase" localSheetId="8" hidden="1">dwh_aa_fact_Facilities!$A$8:$P$18</definedName>
    <definedName name="_xlnm._FilterDatabase" localSheetId="6" hidden="1">dwh_aa_fact_office_roles_sport!$A$8:$P$22</definedName>
    <definedName name="_xlnm._FilterDatabase" localSheetId="3" hidden="1">dwh_aa_fact_support_request_spo!$A$8:$P$49</definedName>
    <definedName name="_xlnm._FilterDatabase" localSheetId="5" hidden="1">dwh_aa_fact_trainers!$A$8:$P$26</definedName>
    <definedName name="Categories">Lists!$A$10:$A$13</definedName>
    <definedName name="Data_Types">Lists!$A$39:$A$49</definedName>
    <definedName name="ETL_Statuses">Lists!$A$28:$A$31</definedName>
    <definedName name="Issues_List" localSheetId="11">dwh_aa_dim_association!#REF!</definedName>
    <definedName name="Issues_List" localSheetId="10">dwh_aa_dim_Dashboard!#REF!</definedName>
    <definedName name="Issues_List" localSheetId="13">dwh_aa_dim_authority!#REF!</definedName>
    <definedName name="Issues_List" localSheetId="14">dwh_aa_dim_branchs!#REF!</definedName>
    <definedName name="Issues_List" localSheetId="12">dwh_aa_dim_society!#REF!</definedName>
    <definedName name="Issues_List" localSheetId="15">dwh_aa_dim_teams!#REF!</definedName>
    <definedName name="Issues_List" localSheetId="1">dwh_aa_fact_achievement_group!#REF!</definedName>
    <definedName name="Issues_List" localSheetId="0">dwh_aa_fact_achievement_persona!#REF!</definedName>
    <definedName name="Issues_List" localSheetId="2">dwh_aa_fact_athlete!#REF!</definedName>
    <definedName name="Issues_List" localSheetId="7">dwh_aa_fact_budget_pct!#REF!</definedName>
    <definedName name="Issues_List" localSheetId="9">dwh_aa_fact_Dashboard_views!#REF!</definedName>
    <definedName name="Issues_List" localSheetId="8">dwh_aa_fact_Facilities!#REF!</definedName>
    <definedName name="Issues_List" localSheetId="6">dwh_aa_fact_office_roles_sport!#REF!</definedName>
    <definedName name="Issues_List" localSheetId="3">dwh_aa_fact_support_request_spo!#REF!</definedName>
    <definedName name="Issues_List" localSheetId="5">dwh_aa_fact_trainers!#REF!</definedName>
    <definedName name="Issues_List">#REF!</definedName>
    <definedName name="Sources">Lists!$A$2:$A$7</definedName>
    <definedName name="Statuses">Lists!$A$34:$A$36</definedName>
    <definedName name="STT_Statuses">Lists!$A$21:$A$25</definedName>
    <definedName name="Versions">Lists!$A$16:$A$18</definedName>
    <definedName name="Z_3877CD48_FFF2_4293_9956_912F099C7B95_.wvu.FilterData" localSheetId="11" hidden="1">dwh_aa_dim_association!$A$8:$P$17</definedName>
    <definedName name="Z_3877CD48_FFF2_4293_9956_912F099C7B95_.wvu.FilterData" localSheetId="10" hidden="1">dwh_aa_dim_Dashboard!$A$8:$P$16</definedName>
    <definedName name="Z_3877CD48_FFF2_4293_9956_912F099C7B95_.wvu.FilterData" localSheetId="13" hidden="1">dwh_aa_dim_authority!$A$8:$P$29</definedName>
    <definedName name="Z_3877CD48_FFF2_4293_9956_912F099C7B95_.wvu.FilterData" localSheetId="14" hidden="1">dwh_aa_dim_branchs!$A$8:$P$24</definedName>
    <definedName name="Z_3877CD48_FFF2_4293_9956_912F099C7B95_.wvu.FilterData" localSheetId="12" hidden="1">dwh_aa_dim_society!$A$8:$M$14</definedName>
    <definedName name="Z_3877CD48_FFF2_4293_9956_912F099C7B95_.wvu.FilterData" localSheetId="15" hidden="1">dwh_aa_dim_teams!$A$8:$P$16</definedName>
    <definedName name="Z_3877CD48_FFF2_4293_9956_912F099C7B95_.wvu.FilterData" localSheetId="1" hidden="1">dwh_aa_fact_achievement_group!$A$8:$P$23</definedName>
    <definedName name="Z_3877CD48_FFF2_4293_9956_912F099C7B95_.wvu.FilterData" localSheetId="0" hidden="1">dwh_aa_fact_achievement_persona!$A$8:$P$37</definedName>
    <definedName name="Z_3877CD48_FFF2_4293_9956_912F099C7B95_.wvu.FilterData" localSheetId="2" hidden="1">dwh_aa_fact_athlete!$A$8:$P$46</definedName>
    <definedName name="Z_3877CD48_FFF2_4293_9956_912F099C7B95_.wvu.FilterData" localSheetId="7" hidden="1">dwh_aa_fact_budget_pct!$A$8:$P$18</definedName>
    <definedName name="Z_3877CD48_FFF2_4293_9956_912F099C7B95_.wvu.FilterData" localSheetId="9" hidden="1">dwh_aa_fact_Dashboard_views!$A$8:$P$18</definedName>
    <definedName name="Z_3877CD48_FFF2_4293_9956_912F099C7B95_.wvu.FilterData" localSheetId="8" hidden="1">dwh_aa_fact_Facilities!$A$8:$P$18</definedName>
    <definedName name="Z_3877CD48_FFF2_4293_9956_912F099C7B95_.wvu.FilterData" localSheetId="6" hidden="1">dwh_aa_fact_office_roles_sport!$A$8:$P$22</definedName>
    <definedName name="Z_3877CD48_FFF2_4293_9956_912F099C7B95_.wvu.FilterData" localSheetId="3" hidden="1">dwh_aa_fact_support_request_spo!$A$8:$P$49</definedName>
    <definedName name="Z_3877CD48_FFF2_4293_9956_912F099C7B95_.wvu.FilterData" localSheetId="5" hidden="1">dwh_aa_fact_trainers!$A$8:$P$26</definedName>
  </definedNames>
  <calcPr calcId="191028"/>
  <customWorkbookViews>
    <customWorkbookView name="Filter 1" guid="{3877CD48-FFF2-4293-9956-912F099C7B95}" maximized="1" windowWidth="0" windowHeight="0" activeSheetId="0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9" roundtripDataChecksum="gvfLs0lrlKBzcLnshPLlaeIreyswrP/e3o9IVjmeRGQ="/>
    </ext>
  </extLst>
</workbook>
</file>

<file path=xl/calcChain.xml><?xml version="1.0" encoding="utf-8"?>
<calcChain xmlns="http://schemas.openxmlformats.org/spreadsheetml/2006/main">
  <c r="R16" i="45" l="1"/>
  <c r="Q16" i="45"/>
  <c r="R8" i="45"/>
  <c r="Q8" i="45"/>
  <c r="R8" i="44"/>
  <c r="Q8" i="44"/>
  <c r="R8" i="42"/>
  <c r="Q8" i="42"/>
  <c r="R8" i="41"/>
  <c r="Q8" i="41"/>
  <c r="R8" i="40"/>
  <c r="Q8" i="40"/>
  <c r="R8" i="39"/>
  <c r="Q8" i="39"/>
  <c r="R8" i="38"/>
  <c r="Q8" i="38"/>
  <c r="R8" i="37"/>
  <c r="Q8" i="37"/>
  <c r="R8" i="27"/>
  <c r="Q8" i="27"/>
  <c r="R8" i="29"/>
  <c r="Q8" i="29"/>
  <c r="Q8" i="36"/>
  <c r="Q8" i="17"/>
  <c r="N8" i="22"/>
  <c r="N7" i="22"/>
  <c r="Q17" i="35"/>
  <c r="Q8" i="35"/>
  <c r="R8" i="36" l="1"/>
  <c r="R17" i="35"/>
  <c r="R8" i="35"/>
  <c r="C9" i="22"/>
  <c r="O8" i="22"/>
  <c r="O7" i="22"/>
  <c r="R8" i="17"/>
  <c r="A49" i="2"/>
  <c r="A48" i="2"/>
  <c r="A47" i="2"/>
  <c r="A46" i="2"/>
  <c r="A44" i="2"/>
  <c r="A43" i="2"/>
  <c r="A4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2A26AD8-11DC-4ACA-8C7A-7B91AB5EF6F9}" keepAlive="1" name="Query - FACT - בקשות תמיכה של אגודות ברמת קבוצה + בקשות אגודות גביע אירופה ברמת קבוצה" description="Connection to the 'FACT - בקשות תמיכה של אגודות ברמת קבוצה + בקשות אגודות גביע אירופה ברמת קבוצה' query in the workbook." type="5" refreshedVersion="8" background="1" saveData="1">
    <dbPr connection="Provider=Microsoft.Mashup.OleDb.1;Data Source=$Workbook$;Location=&quot;FACT - בקשות תמיכה של אגודות ברמת קבוצה + בקשות אגודות גביע אירופה ברמת קבוצה&quot;;Extended Properties=&quot;&quot;" command="SELECT * FROM [FACT - בקשות תמיכה של אגודות ברמת קבוצה + בקשות אגודות גביע אירופה ברמת קבוצה]"/>
  </connection>
  <connection id="2" xr16:uid="{591D0D10-1E23-48BD-8AC1-3BF8CA4AE4C9}" keepAlive="1" name="Query - אגודות" description="Connection to the 'אגודות' query in the workbook." type="5" refreshedVersion="0" background="1">
    <dbPr connection="Provider=Microsoft.Mashup.OleDb.1;Data Source=$Workbook$;Location=אגודות;Extended Properties=&quot;&quot;" command="SELECT * FROM [אגודות]"/>
  </connection>
</connection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<sst xmlns="http://schemas.openxmlformats.org/spreadsheetml/2006/main" count="2452" uniqueCount="637">
  <si>
    <t>STT Status</t>
  </si>
  <si>
    <t>In Progress</t>
  </si>
  <si>
    <t>Population</t>
  </si>
  <si>
    <r>
      <t>Source</t>
    </r>
    <r>
      <rPr>
        <b/>
        <sz val="10"/>
        <color theme="1"/>
        <rFont val="Calibri"/>
        <family val="2"/>
      </rPr>
      <t>1</t>
    </r>
  </si>
  <si>
    <t>Header</t>
  </si>
  <si>
    <t>Frequency</t>
  </si>
  <si>
    <t>Status</t>
  </si>
  <si>
    <t>Meta</t>
  </si>
  <si>
    <t>"</t>
  </si>
  <si>
    <t>": "</t>
  </si>
  <si>
    <t>Initial query</t>
  </si>
  <si>
    <t xml:space="preserve">WHERE support_request_code is not null and support_request_code &lt;&gt; '' and b.branch_name not like '%בדיק%'
</t>
  </si>
  <si>
    <t>Fact הישגיות אישי</t>
  </si>
  <si>
    <t>Parameters</t>
  </si>
  <si>
    <t>Target schema status</t>
  </si>
  <si>
    <t>Source System</t>
  </si>
  <si>
    <t>Loading method</t>
  </si>
  <si>
    <t>ETL Status</t>
  </si>
  <si>
    <t>CRM</t>
  </si>
  <si>
    <t>Dependencies</t>
  </si>
  <si>
    <t>Create Table script</t>
  </si>
  <si>
    <t>Target</t>
  </si>
  <si>
    <t xml:space="preserve">     Main Source</t>
  </si>
  <si>
    <t xml:space="preserve">     Review Status</t>
  </si>
  <si>
    <t xml:space="preserve">     MetaData</t>
  </si>
  <si>
    <t>dwh_aa_fact_achievement_personal</t>
  </si>
  <si>
    <t>Column Name</t>
  </si>
  <si>
    <t>Type</t>
  </si>
  <si>
    <t>Key</t>
  </si>
  <si>
    <t>Comment and/or Example</t>
  </si>
  <si>
    <t>Source</t>
  </si>
  <si>
    <t>Table</t>
  </si>
  <si>
    <t>Column/s Name/s</t>
  </si>
  <si>
    <t>Transformation</t>
  </si>
  <si>
    <t>דינה</t>
  </si>
  <si>
    <t>Category</t>
  </si>
  <si>
    <t>Version</t>
  </si>
  <si>
    <t>champion_type</t>
  </si>
  <si>
    <t>string</t>
  </si>
  <si>
    <t>סוג אליפות / תחרות</t>
  </si>
  <si>
    <t>DWH</t>
  </si>
  <si>
    <t>mrr_aa_new_mainbranchachievementses</t>
  </si>
  <si>
    <t>MainKey</t>
  </si>
  <si>
    <t>Core 1.0</t>
  </si>
  <si>
    <t>champion_date</t>
  </si>
  <si>
    <t>date</t>
  </si>
  <si>
    <t>מועד האליפות</t>
  </si>
  <si>
    <t>host_country</t>
  </si>
  <si>
    <t>מדינה מארחת</t>
  </si>
  <si>
    <t>competition_countries_cnt</t>
  </si>
  <si>
    <t>Int64</t>
  </si>
  <si>
    <t>מספר מדינות משתתפות בקטגוריה</t>
  </si>
  <si>
    <t>competition_gender</t>
  </si>
  <si>
    <t>מגדר תחרות</t>
  </si>
  <si>
    <t>personal_gender</t>
  </si>
  <si>
    <t>competition_age_category</t>
  </si>
  <si>
    <t>שכבת גיל תחרות</t>
  </si>
  <si>
    <t>age_personal_name</t>
  </si>
  <si>
    <t>athlete_age_category</t>
  </si>
  <si>
    <t>שכבת גיל של הספורטאי</t>
  </si>
  <si>
    <t>mrr_aa_new_athletesinsupportingrequests</t>
  </si>
  <si>
    <t>athlete_gender</t>
  </si>
  <si>
    <t>מגדר ספורטאי</t>
  </si>
  <si>
    <t>competitor_team_size</t>
  </si>
  <si>
    <t>בודד / זוג / שלשה (האם הוא מתחרה לבד, בזוג או בשלשה)</t>
  </si>
  <si>
    <t>sport_weight_category</t>
  </si>
  <si>
    <t>מקצוע-קטגוריה-משקל</t>
  </si>
  <si>
    <t>participants_cnt</t>
  </si>
  <si>
    <t>מספר ספורטאים משתתפים בקטגוריה</t>
  </si>
  <si>
    <t>is_olympic_profession_world</t>
  </si>
  <si>
    <t>מקצוע אולימפי/מ.עולם - כן / לא</t>
  </si>
  <si>
    <t>score</t>
  </si>
  <si>
    <t>float64</t>
  </si>
  <si>
    <t xml:space="preserve">ניקוד ספורטאי אישי </t>
  </si>
  <si>
    <t>mrr_aa_new_athletetoachievements</t>
  </si>
  <si>
    <t>athlete_per_achievements_score</t>
  </si>
  <si>
    <t>athlete_per_achievements_full_name_en</t>
  </si>
  <si>
    <t>שם מלא באנגלית</t>
  </si>
  <si>
    <t>athlete_support_request_code</t>
  </si>
  <si>
    <t>קוד ספורטאי בבקשת תמיכה במערכת CRM</t>
  </si>
  <si>
    <t>athlete_per_achievements_full_name_heb</t>
  </si>
  <si>
    <t>שם מלא בעברית</t>
  </si>
  <si>
    <t>competition_rank</t>
  </si>
  <si>
    <t>מקום בדירוג</t>
  </si>
  <si>
    <t>branch_id</t>
  </si>
  <si>
    <t>מזהה ענף</t>
  </si>
  <si>
    <t>mrr_aa_new_branchs</t>
  </si>
  <si>
    <t>branch_name</t>
  </si>
  <si>
    <t>שם ענף</t>
  </si>
  <si>
    <t>support_request_year</t>
  </si>
  <si>
    <t>שנת בקשת תמיכה</t>
  </si>
  <si>
    <t>mrr_aa_new_supportrequests</t>
  </si>
  <si>
    <t>support_request_code</t>
  </si>
  <si>
    <t>קוד בקשת תמיכה במערכת CRM</t>
  </si>
  <si>
    <t>authority_id</t>
  </si>
  <si>
    <t>מזהה רשות</t>
  </si>
  <si>
    <t>mrr_aa_new_localauthorities</t>
  </si>
  <si>
    <t>authority_name</t>
  </si>
  <si>
    <t>שם רשות</t>
  </si>
  <si>
    <t>society_id</t>
  </si>
  <si>
    <t>מזהה אגודה</t>
  </si>
  <si>
    <t>mrr_aa_new_societies</t>
  </si>
  <si>
    <t>society_name</t>
  </si>
  <si>
    <t>שם אגודה</t>
  </si>
  <si>
    <t>association_id</t>
  </si>
  <si>
    <t>מזהה איגוד</t>
  </si>
  <si>
    <t>mrr_aa_accounts</t>
  </si>
  <si>
    <t>association_name</t>
  </si>
  <si>
    <t>שם איגוד</t>
  </si>
  <si>
    <t>Leave Empty</t>
  </si>
  <si>
    <t>where ga.support_request_code is not null 
	and ga.support_request_code &lt;&gt; ''
	and b.branch_name not like '%בדיק%'</t>
  </si>
  <si>
    <t xml:space="preserve">Fact הישגיות קבוצתי </t>
  </si>
  <si>
    <t>dwh_aa_fact_achievement_group</t>
  </si>
  <si>
    <t>group_branch_achievements_code</t>
  </si>
  <si>
    <t>קוד הישגיות קבוצתי במערכת CRM</t>
  </si>
  <si>
    <t>mrr_aa_new_groupialbranchachievementses</t>
  </si>
  <si>
    <t>end_date</t>
  </si>
  <si>
    <t>מועד סיום</t>
  </si>
  <si>
    <t>gender</t>
  </si>
  <si>
    <t>מגדר</t>
  </si>
  <si>
    <t>group_gender</t>
  </si>
  <si>
    <t>age_group_name</t>
  </si>
  <si>
    <t>ניקוד קבוצה</t>
  </si>
  <si>
    <t>group_achievements_score</t>
  </si>
  <si>
    <t>group_name</t>
  </si>
  <si>
    <t>שם של הקבוצה</t>
  </si>
  <si>
    <t>WHERE r.support_request_code is not null and r.support_request_code &lt;&gt; ''</t>
  </si>
  <si>
    <t>Fact ספורטאים</t>
  </si>
  <si>
    <t>new_athletesinsupportingrequests</t>
  </si>
  <si>
    <t>athlete_code</t>
  </si>
  <si>
    <t>מפתח לספורטאי במערכת CRM</t>
  </si>
  <si>
    <t>athlete_id</t>
  </si>
  <si>
    <t>מזהה ספורטאי בבקשת תמיכה</t>
  </si>
  <si>
    <t>request_type</t>
  </si>
  <si>
    <t>האם זה אישי או קבוצתי</t>
  </si>
  <si>
    <t>Calculated</t>
  </si>
  <si>
    <t xml:space="preserve">union </t>
  </si>
  <si>
    <t>mrr_aa_new_societyunions</t>
  </si>
  <si>
    <t>team_number</t>
  </si>
  <si>
    <t>מספר קבוצה</t>
  </si>
  <si>
    <t>מגדר הספורטאי</t>
  </si>
  <si>
    <t>athlete_final_score</t>
  </si>
  <si>
    <t>ניקוד ספורטאי</t>
  </si>
  <si>
    <t>team_code</t>
  </si>
  <si>
    <t>מפתח לקבוצה במערכת CRM</t>
  </si>
  <si>
    <t>team_name</t>
  </si>
  <si>
    <t>שם קבוצה</t>
  </si>
  <si>
    <t>mrr_aa_new_teams</t>
  </si>
  <si>
    <t>league_type</t>
  </si>
  <si>
    <t>שם סוג ליגה</t>
  </si>
  <si>
    <t>mrr_aa_new_aa_leagues</t>
  </si>
  <si>
    <t>age</t>
  </si>
  <si>
    <t>גיל הספורטאי</t>
  </si>
  <si>
    <t>mrr_aa_new_athletesinsupportingrequests, mrr_aa_new_supportrequests</t>
  </si>
  <si>
    <t>r.assessment_year - a.birth_year as age</t>
  </si>
  <si>
    <t>קטגוריית גיל ספורטאי</t>
  </si>
  <si>
    <t>athlete_has_insurance</t>
  </si>
  <si>
    <t>האם לספורטאי יש ביטוח - כן/לא</t>
  </si>
  <si>
    <t>athlete_has_medical_check</t>
  </si>
  <si>
    <t>האם עבר בדיקה רפואית - כן/לא</t>
  </si>
  <si>
    <t>is_pass_threshold_athlete</t>
  </si>
  <si>
    <t>עבר תנאי סף ברמת ספורטאי? כן/לא</t>
  </si>
  <si>
    <t>is_pass_threshold_condition</t>
  </si>
  <si>
    <t>is_budget_pass_final_threshold</t>
  </si>
  <si>
    <t>עבר תנאי סף ברמת בקשת תמיכה</t>
  </si>
  <si>
    <t>is_pass_threshold_team</t>
  </si>
  <si>
    <t>עבר תנאי סף ברמת קבוצה? כן/לא/לא רלוונטי. עבר = עומד בתנאי סף רגיל או בנסיבות מיוחדות (או/או). רלוונטי רק בבקשה קבוצתית</t>
  </si>
  <si>
    <t>is_pass_threshold_condition, is_pass_special_threshold_condition</t>
  </si>
  <si>
    <t>if request_type='קבוצה רגילה' then CASE WHEN t.is_pass_threshold_condition='כן' OR t.is_pass_special_threshold_condition='כן' THEN 'כן' ELSE 'לא' END else 'לא רלוונטי'</t>
  </si>
  <si>
    <t>is_pass_threshold_society</t>
  </si>
  <si>
    <t>עבר תנאי סף ברמת אגודה? כן/לא/לא רלוונטי. לא רלוונטי בבקשת איגוד</t>
  </si>
  <si>
    <t>CASE WHEN su.is_pass_threshold_condition='עבר תנאי סף' THEN 'כן' ELSE 'לא' END  (בבלוק אישי su=societyunions; בבלוק קבוצה suu=societyunions)</t>
  </si>
  <si>
    <t>is_pass_threshold_association</t>
  </si>
  <si>
    <t>עבר תנאי סף ברמת איגוד ? כן/לא</t>
  </si>
  <si>
    <t>CASE WHEN r.is_pass_threshold_condition='עבר' THEN 'כן' ELSE 'לא' END</t>
  </si>
  <si>
    <t>is_pass_threshold_total_association</t>
  </si>
  <si>
    <t xml:space="preserve">תנאי סף כוללים איגוד </t>
  </si>
  <si>
    <t>mrr_aa_new_supportrequests, mrr_aa_new_athletesinsupportingrequests</t>
  </si>
  <si>
    <t>is_pass_threshold_condition, is_pass_threshold_condition</t>
  </si>
  <si>
    <t>CASE WHEN r.is_pass_threshold_condition='עבר' AND a.is_pass_threshold_condition='כן' THEN 'כן' ELSE 'לא' END</t>
  </si>
  <si>
    <t>is_pass_threshold_total_society</t>
  </si>
  <si>
    <t xml:space="preserve">תנאי סף כוללים אגודה </t>
  </si>
  <si>
    <t>mrr_aa_new_supportrequests, mrr_aa_new_societyunions, mrr_aa_new_teams, mrr_aa_new_athletesinsupportingrequests</t>
  </si>
  <si>
    <t>is_pass_threshold_condition, is_pass_threshold_condition, is_pass_threshold_condition, is_pass_special_threshold_condition, is_pass_threshold_condition</t>
  </si>
  <si>
    <t>CASE WHEN r.is_pass_threshold_condition='עבר' AND su.is_pass_threshold_condition='עבר תנאי סף' AND a.is_pass_threshold_condition='כן' AND (בקבוצה רגילה גם: t.is_pass_threshold_condition='כן' OR t.is_pass_special_threshold_condition='כן') THEN 'כן' ELSE 'לא' END</t>
  </si>
  <si>
    <t xml:space="preserve">בקשות תמיכה לפי שנים </t>
  </si>
  <si>
    <t>SF</t>
  </si>
  <si>
    <t>סוג הגשה - קבוצה / אישי / איגוד / אליפות אירופה</t>
  </si>
  <si>
    <t>request_type_filter</t>
  </si>
  <si>
    <t>סוג לפילטר - איגוד / אגודה</t>
  </si>
  <si>
    <t>request_name</t>
  </si>
  <si>
    <t>שם  המגיש - שם איגוד / שם אגודה</t>
  </si>
  <si>
    <t>mrr_aa_accounts,mrr_aa_new_societyunions</t>
  </si>
  <si>
    <t>approved_amount</t>
  </si>
  <si>
    <t>סכום מאושר - תקציב בפועל</t>
  </si>
  <si>
    <t>mrr_aa_budgets</t>
  </si>
  <si>
    <t>union</t>
  </si>
  <si>
    <t>מזהה קבוצה</t>
  </si>
  <si>
    <t>סוג ליגה</t>
  </si>
  <si>
    <t>league_name</t>
  </si>
  <si>
    <t>שם ליגה</t>
  </si>
  <si>
    <t>male_cnt</t>
  </si>
  <si>
    <t>כמות ספורטאים גברים</t>
  </si>
  <si>
    <t>COUNT(*) FILTER (WHERE athlete_gender = 'זכר') AS male_cnt</t>
  </si>
  <si>
    <t>female_cnt</t>
  </si>
  <si>
    <t>כמות ספורטאיות נשים</t>
  </si>
  <si>
    <t>COUNT(*) FILTER (WHERE athlete_gender = 'נקבה') AS female_cnt,</t>
  </si>
  <si>
    <t>male_score</t>
  </si>
  <si>
    <t>ניקוד גברים ספורטאים</t>
  </si>
  <si>
    <t>mrr_aa_new_athletesinsupportingrequests, mrr_aa_new_europehampionshipforteams</t>
  </si>
  <si>
    <t>SUM(athlete_final_score) FILTER (WHERE athlete_gender = 'זכר')  AS male_score,
if europe then SUM(CASE WHEN ag.age_group_gender = 'זכר' THEN ec.europe_champion_score ELSE 0.0 END)</t>
  </si>
  <si>
    <t>female_score</t>
  </si>
  <si>
    <t>ניקוד נשים ספורטאיות</t>
  </si>
  <si>
    <t>mrr_aa_new_athletesinsupportingrequests,mrr_aa_new_europehampionshipforteams</t>
  </si>
  <si>
    <t>SUM(athlete_final_score) FILTER (WHERE athlete_gender = 'נקבה') AS female_score
if europe then SUM(CASE WHEN ag.age_group_gender = 'נקבה' THEN ec.europe_champion_score ELSE 0.0 END)</t>
  </si>
  <si>
    <t>achievement_score</t>
  </si>
  <si>
    <t>תוספת הישגיות לאגודות (קיים רק בבקשות של ענף קבוצתי)</t>
  </si>
  <si>
    <t>male_achievement_score</t>
  </si>
  <si>
    <t>ניקוד הישגיות גברים באיגוד</t>
  </si>
  <si>
    <t>female_achievement_score</t>
  </si>
  <si>
    <t>ניקוד הישגיות נשים באיגוד</t>
  </si>
  <si>
    <t>professional_score</t>
  </si>
  <si>
    <t>ניקוד מקצועיות - רלוונטי לאיגודים</t>
  </si>
  <si>
    <t>coach_association_score</t>
  </si>
  <si>
    <t>ניקוד ליווי העסקת מאמנים באגודות - רלוונטי לאיגודים</t>
  </si>
  <si>
    <t>branch_cost_score</t>
  </si>
  <si>
    <t>ניקוד עלות הפעלת ענף - רלוונטי לאיגודים</t>
  </si>
  <si>
    <t>women_promotion_score</t>
  </si>
  <si>
    <t>ניקוד קידום ספורט נשים - רלוונטי לאיגודים</t>
  </si>
  <si>
    <t>excellent_center_score</t>
  </si>
  <si>
    <t>ניקוד מרכזי מצויינות - רלוונטי לאיגודים</t>
  </si>
  <si>
    <t>is_pass_professional_condition</t>
  </si>
  <si>
    <t>עומד בתנאי סף מקצועיים - כן או לא</t>
  </si>
  <si>
    <t>is_pass_admin_condition</t>
  </si>
  <si>
    <t>עומד בתנאי סף מנהלתיים - כן או לא</t>
  </si>
  <si>
    <t>עבר תנאי סף? עבר / לא עבר</t>
  </si>
  <si>
    <t>עבר תנאי סף ברמת קבוצה? כן/לא/לא רלוונטי</t>
  </si>
  <si>
    <t>if request_type in ('קבוצה רגילה','אליפות אירופה') then CASE WHEN t.is_pass_threshold_condition='כן' OR t.is_pass_special_threshold_condition='כן' THEN 'כן' ELSE 'לא' END else 'לא רלוונטי'</t>
  </si>
  <si>
    <t>עבר תנאי סף ברמת אגודה? כן/לא/לא רלוונטי</t>
  </si>
  <si>
    <t>if request_type='איגוד' then 'לא רלוונטי' else CASE WHEN su.is_pass_threshold_condition='עבר תנאי סף' THEN 'כן' ELSE 'לא' END</t>
  </si>
  <si>
    <t>עבר תנאי סף ברמת איגוד? כן/לא</t>
  </si>
  <si>
    <t>is_pass_threshold_total</t>
  </si>
  <si>
    <t>עבר תנאי סף בכל הרמות הרלוונטיות לסוג הבקשה? כן/לא</t>
  </si>
  <si>
    <t>mrr_aa_new_supportrequests, mrr_aa_new_societyunions, mrr_aa_new_teams</t>
  </si>
  <si>
    <t>is_pass_threshold_condition, is_pass_threshold_condition, is_pass_threshold_condition, is_pass_special_threshold_condition</t>
  </si>
  <si>
    <t>AND על הרמות הרלוונטיות → אישי: society='כן' AND association='כן' · קבוצה/אירופה: team='כן' AND society='כן' AND association='כן' · איגוד: association='כן' · אחרת 'לא'</t>
  </si>
  <si>
    <t>שנת תמיכה</t>
  </si>
  <si>
    <t>area_name</t>
  </si>
  <si>
    <t>יעוד תחום ענף</t>
  </si>
  <si>
    <t>יש ברמת איגוד</t>
  </si>
  <si>
    <t>יש union כדיי להביא גם מאמנים ומדריכים מטבלת מאמנים וגם להביא מאמנים לאומיים מטבלת תפקידים</t>
  </si>
  <si>
    <t>Fact מאמנים</t>
  </si>
  <si>
    <t>מזהה (תז / דרכון) לאדם</t>
  </si>
  <si>
    <t>mrr_aa_new_trainers, mrr_aa_new_officials</t>
  </si>
  <si>
    <t>trainer_id, official_id</t>
  </si>
  <si>
    <t>encode(digest(o.official_id::text, 'sha256'), 'hex') as person_id</t>
  </si>
  <si>
    <t>person_code</t>
  </si>
  <si>
    <t>מפתח למאמן/מדריך במערכת CRM</t>
  </si>
  <si>
    <t>trainer_code, official_code</t>
  </si>
  <si>
    <t>first_name</t>
  </si>
  <si>
    <t>שם פרטי</t>
  </si>
  <si>
    <t>trainer_first_name, official_first_name</t>
  </si>
  <si>
    <t>last_name</t>
  </si>
  <si>
    <t>שם משפחה</t>
  </si>
  <si>
    <t>trainer_last_name, official_last_name</t>
  </si>
  <si>
    <t>trainer_gender, official_gender</t>
  </si>
  <si>
    <t>role_desc</t>
  </si>
  <si>
    <t>תיאור תפקיד - מאמן/מדריך/מאמן לאומי</t>
  </si>
  <si>
    <t>instructor_or_trainer, official_desc</t>
  </si>
  <si>
    <t>מספר ענף</t>
  </si>
  <si>
    <t>WHERE  r.support_request_code is not null</t>
  </si>
  <si>
    <t>mrr_aa_new_officials</t>
  </si>
  <si>
    <t>official_id</t>
  </si>
  <si>
    <t>official_code</t>
  </si>
  <si>
    <t>מפתח לתפקיד במערכת CRM</t>
  </si>
  <si>
    <t>official_first_name</t>
  </si>
  <si>
    <t>official_last_name</t>
  </si>
  <si>
    <t>official_gender</t>
  </si>
  <si>
    <t>official_desc</t>
  </si>
  <si>
    <t>תיאור תפקיד</t>
  </si>
  <si>
    <t>Fact אחוזי תקציב</t>
  </si>
  <si>
    <t>MRR</t>
  </si>
  <si>
    <t>support_year</t>
  </si>
  <si>
    <t>mrr_aa_new_allocationbudgetstoareaandmeasurements</t>
  </si>
  <si>
    <t>allocation_budget_amount</t>
  </si>
  <si>
    <t>סכום תקציב</t>
  </si>
  <si>
    <t>goal_type</t>
  </si>
  <si>
    <t>סוג יעוד (תחום/אמת מידה)</t>
  </si>
  <si>
    <t>יעוד תחום</t>
  </si>
  <si>
    <t>measurement_for_area</t>
  </si>
  <si>
    <t>יעוד אמת מידה</t>
  </si>
  <si>
    <t>percent</t>
  </si>
  <si>
    <t>אחוז הקצאת תקציב</t>
  </si>
  <si>
    <t>Fact מתקנים</t>
  </si>
  <si>
    <t>district</t>
  </si>
  <si>
    <t>מחוז</t>
  </si>
  <si>
    <t>mrr_aa_new_Facilities</t>
  </si>
  <si>
    <t>inspector_name</t>
  </si>
  <si>
    <t>שם המפקח</t>
  </si>
  <si>
    <t>רשות המקומית</t>
  </si>
  <si>
    <t>facility_type</t>
  </si>
  <si>
    <t>סוג המתקן</t>
  </si>
  <si>
    <t>facility_name</t>
  </si>
  <si>
    <t>שם המתקן</t>
  </si>
  <si>
    <t>neighborhood_details</t>
  </si>
  <si>
    <t>שכונה-רובע ; משמש גם לטקסט חופשי במקרים שבהם אין כתובת מלאה ונדרשת הערה לצורך איתור המתקן</t>
  </si>
  <si>
    <t>locality_name</t>
  </si>
  <si>
    <t>שם היישוב</t>
  </si>
  <si>
    <t>street_name_updated</t>
  </si>
  <si>
    <t>שם הרחוב המעודכן</t>
  </si>
  <si>
    <t>street_name</t>
  </si>
  <si>
    <t>שם הרחוב</t>
  </si>
  <si>
    <t>house_number</t>
  </si>
  <si>
    <t>מספר הבית</t>
  </si>
  <si>
    <t>building_count</t>
  </si>
  <si>
    <t>מספר המבנים במתקן</t>
  </si>
  <si>
    <t>facility_owner_name</t>
  </si>
  <si>
    <t>שם בעל המתקן</t>
  </si>
  <si>
    <t>facility_operator_name</t>
  </si>
  <si>
    <t>הגוף המפעיל את המתקן</t>
  </si>
  <si>
    <t>seat_count</t>
  </si>
  <si>
    <t>מספר המושבים במתקן</t>
  </si>
  <si>
    <t>available_for_activity</t>
  </si>
  <si>
    <t>האם המתקן פנוי לפעילות</t>
  </si>
  <si>
    <t>fencing_exists</t>
  </si>
  <si>
    <t>האם קיימת גידור במתקן</t>
  </si>
  <si>
    <t>lighting_exists</t>
  </si>
  <si>
    <t>האם קיימת תאורה במתקן</t>
  </si>
  <si>
    <t>accessibility_for_disabled</t>
  </si>
  <si>
    <t>האם המתקן נגיש לאנשים עם מוגבלות</t>
  </si>
  <si>
    <t>vehicle_parking</t>
  </si>
  <si>
    <t>האם קיימת חניה לרכבים</t>
  </si>
  <si>
    <t>facility_condition</t>
  </si>
  <si>
    <t>מצב המתקן</t>
  </si>
  <si>
    <t>competition_standard</t>
  </si>
  <si>
    <t>האם המתקן עומד בתקן לקיום תחרויות</t>
  </si>
  <si>
    <t>official_competition_use</t>
  </si>
  <si>
    <t>האם המתקן משמש לתחרויות רשמיות</t>
  </si>
  <si>
    <t>establishment_year</t>
  </si>
  <si>
    <t>שנת הקמת המתקן</t>
  </si>
  <si>
    <t>school_served</t>
  </si>
  <si>
    <t>שם בית הספר שהמתקן משרת</t>
  </si>
  <si>
    <t>notes</t>
  </si>
  <si>
    <t>הערות כלליות על המתקן</t>
  </si>
  <si>
    <t>facility_id</t>
  </si>
  <si>
    <t>PK</t>
  </si>
  <si>
    <t>מזהה ייחודי של המתקן</t>
  </si>
  <si>
    <t>inspection_flag</t>
  </si>
  <si>
    <t>דגל לבדיקה</t>
  </si>
  <si>
    <t>owner_type</t>
  </si>
  <si>
    <t>סוג בעל המתקן: עירייה / חכ"ל / פרטי</t>
  </si>
  <si>
    <t>owner_id</t>
  </si>
  <si>
    <t>מזהה בעל המתקן, כגון ח.פ. או ד.נ.</t>
  </si>
  <si>
    <t>lifecycle_status</t>
  </si>
  <si>
    <t>סטטוס מחזור החיים של המתקן</t>
  </si>
  <si>
    <t>last_updated_date</t>
  </si>
  <si>
    <t>תאריך העדכון האחרון של נתוני המתקן</t>
  </si>
  <si>
    <t>updated_by</t>
  </si>
  <si>
    <t>הגורם או המשתמש שביצע את העדכון האחרון</t>
  </si>
  <si>
    <t>data_source</t>
  </si>
  <si>
    <t>מקור הנתון</t>
  </si>
  <si>
    <t>geocoding_status</t>
  </si>
  <si>
    <t>סטטוס תהליך איתור הקואורדינטות. לדוגמה: SUCCESS / NO_MATCH / NO_QUERY</t>
  </si>
  <si>
    <t>ETL</t>
  </si>
  <si>
    <t>N/A</t>
  </si>
  <si>
    <t>נתוני כתובת + GovMap response</t>
  </si>
  <si>
    <t>נקבע לפי תוצאת תהליך ה-Geocoding. SUCCESS כאשר נמצאה התאמה תקינה; NO_MATCH כאשר בוצע חיפוש ללא התאמה; NO_QUERY כאשר אין מספיק נתונים לביצוע חיפוש</t>
  </si>
  <si>
    <t>location_accuracy</t>
  </si>
  <si>
    <t>רמת הדיוק של ההתאמה: ADDRESS / STREET / LOCALITY</t>
  </si>
  <si>
    <t>locality_name, authority_name, street_name_updated, street_name, house_number</t>
  </si>
  <si>
    <t>נקבע לפי רמת החיפוש שבה התקבלה התאמה תקינה: כתובת מלאה, רחוב או יישוב</t>
  </si>
  <si>
    <t>geocoding_query</t>
  </si>
  <si>
    <t>מחרוזת החיפוש שבאמצעותה התקבלה ההתאמה</t>
  </si>
  <si>
    <t>בניית שאילתת חיפוש באופן מדורג לפי נתוני הכתובת הזמינים ושמירת השאילתה שהביאה להתאמה</t>
  </si>
  <si>
    <t>geocoding_source_locality</t>
  </si>
  <si>
    <t>ערך היישוב ששימש לצורך איתור המיקום</t>
  </si>
  <si>
    <t>locality_name, authority_name</t>
  </si>
  <si>
    <t>בחירת ערך היישוב מתוך נתוני המקור בהתאם ללוגיקת ה-Geocoding</t>
  </si>
  <si>
    <t>geocoding_source_street</t>
  </si>
  <si>
    <t>ערך הרחוב ששימש לצורך איתור המיקום</t>
  </si>
  <si>
    <t>street_name_updated, street_name</t>
  </si>
  <si>
    <t>שימוש בשם הרחוב המעודכן כאשר קיים, אחרת בשם הרחוב המקורי</t>
  </si>
  <si>
    <t>geocoding_source_house_number</t>
  </si>
  <si>
    <t>מספר הבית ששימש לצורך איתור המיקום</t>
  </si>
  <si>
    <t>העברת מספר הבית מנתוני המקור לצורך בניית שאילתת הכתובת</t>
  </si>
  <si>
    <t>govmap_result_text</t>
  </si>
  <si>
    <t>תיאור התוצאה שנבחרה מתוך GovMap</t>
  </si>
  <si>
    <t>GovMap API</t>
  </si>
  <si>
    <t>results[].text</t>
  </si>
  <si>
    <t>שמירת טקסט תוצאת GovMap שנבחרה כהתאמה תקינה</t>
  </si>
  <si>
    <t>govmap_original_text</t>
  </si>
  <si>
    <t>טקסט הכתובת המקורי המוחזר ע"י GovMap</t>
  </si>
  <si>
    <t>results[].originalText</t>
  </si>
  <si>
    <t>שמירת originalText של תוצאת GovMap שנבחרה</t>
  </si>
  <si>
    <t>govmap_type</t>
  </si>
  <si>
    <t>סוג הישות שהוחזרה, לדוגמה address / street / settlement</t>
  </si>
  <si>
    <t>GovMap result type</t>
  </si>
  <si>
    <t>חילוץ וסיווג סוג תוצאת החיפוש שנבחרה</t>
  </si>
  <si>
    <t>govmap_score</t>
  </si>
  <si>
    <t>ציון ההתאמה שהתקבל מ-GovMap</t>
  </si>
  <si>
    <t>results[].score</t>
  </si>
  <si>
    <t>שמירת ציון ההתאמה של תוצאת GovMap שנבחרה</t>
  </si>
  <si>
    <t>govmap_shape</t>
  </si>
  <si>
    <t>הגאומטריה המקורית שהוחזרה מ-GovMap, לדוגמה POINT(...)</t>
  </si>
  <si>
    <t>results[].shape</t>
  </si>
  <si>
    <t>שמירת ערך ה-POINT של תוצאת GovMap שנבחרה</t>
  </si>
  <si>
    <t>govmap_x</t>
  </si>
  <si>
    <t>קואורדינטת X המקורית מתוך GovMap</t>
  </si>
  <si>
    <t>חילוץ ערך X מתוך POINT שהוחזר בשדה govmap_shape</t>
  </si>
  <si>
    <t>govmap_y</t>
  </si>
  <si>
    <t>קואורדינטת Y המקורית מתוך GovMap</t>
  </si>
  <si>
    <t>חילוץ ערך Y מתוך POINT שהוחזר בשדה govmap_shape</t>
  </si>
  <si>
    <t>latitude</t>
  </si>
  <si>
    <t>קו רוחב בפורמט המתאים להצגה במפה</t>
  </si>
  <si>
    <t>govmap_x, govmap_y</t>
  </si>
  <si>
    <t>המרת הקואורדינטות שהוחזרו מ-GovMap למערכת WGS84 והפקת Latitude</t>
  </si>
  <si>
    <t>longitude</t>
  </si>
  <si>
    <t>קו אורך בפורמט המתאים להצגה במפה</t>
  </si>
  <si>
    <t>המרת הקואורדינטות שהוחזרו מ-GovMap למערכת WGS84 והפקת Longitude</t>
  </si>
  <si>
    <t>geocoded_at</t>
  </si>
  <si>
    <t>datetime</t>
  </si>
  <si>
    <t>מועד ביצוע תהליך ה-Geocoding</t>
  </si>
  <si>
    <t>System timestamp</t>
  </si>
  <si>
    <t>שמירת מועד ביצוע ה-Geocoding עבור הרשומה</t>
  </si>
  <si>
    <t>event_id</t>
  </si>
  <si>
    <t>מזהה אירוע הצפייה</t>
  </si>
  <si>
    <t>mrr_qs_dashboard_views</t>
  </si>
  <si>
    <t>dashboard_id</t>
  </si>
  <si>
    <t>מזהה הדשבורד. מקשר ל-mrr_qs_dashboard</t>
  </si>
  <si>
    <t>dashboard_name</t>
  </si>
  <si>
    <t>שם הדשבורד הנוכחי</t>
  </si>
  <si>
    <t>dashboard_display</t>
  </si>
  <si>
    <t>שם לתצוגה בדוח</t>
  </si>
  <si>
    <t>dashboard_family</t>
  </si>
  <si>
    <t>קיבוץ לוגי של גרסאות הדשבורד</t>
  </si>
  <si>
    <t>env_type</t>
  </si>
  <si>
    <t>סביבת הדשבורד</t>
  </si>
  <si>
    <t>subject_domain</t>
  </si>
  <si>
    <t>תחום התוכן של הדשבורד</t>
  </si>
  <si>
    <t>dashboard_still_exists</t>
  </si>
  <si>
    <t>boolean</t>
  </si>
  <si>
    <t>האם הדשבורד קיים כרגע או נמחק</t>
  </si>
  <si>
    <t>qs_user</t>
  </si>
  <si>
    <t>המשתמש שצפה בדשבורד</t>
  </si>
  <si>
    <t>user_short</t>
  </si>
  <si>
    <t>שם המשתמש ללא הדומיין</t>
  </si>
  <si>
    <t>user_type</t>
  </si>
  <si>
    <t>פנימי / חיצוני</t>
  </si>
  <si>
    <t>is_service_account</t>
  </si>
  <si>
    <t>חשבון מכונה ולא אדם. נדרש סינון ל-FALSE בניתוחי שימוש</t>
  </si>
  <si>
    <t>event_time_utc</t>
  </si>
  <si>
    <t>מועד הצפייה ב-UTC</t>
  </si>
  <si>
    <t>event_ts_il</t>
  </si>
  <si>
    <t>מועד הצפייה בשעון ישראל</t>
  </si>
  <si>
    <t>event_date</t>
  </si>
  <si>
    <t>תאריך הצפייה בשעון ישראל</t>
  </si>
  <si>
    <t>event_hour</t>
  </si>
  <si>
    <t>שעת הצפייה בשעון ישראל</t>
  </si>
  <si>
    <t>duration_minutes</t>
  </si>
  <si>
    <t>אומדן משך השימוש בדקות</t>
  </si>
  <si>
    <t>is_duration_estimated</t>
  </si>
  <si>
    <t>סימון שהמשך הוא הערכה</t>
  </si>
  <si>
    <t>is_last_in_session</t>
  </si>
  <si>
    <t>הצפייה האחרונה ב-session</t>
  </si>
  <si>
    <t>session_id</t>
  </si>
  <si>
    <t>מזהה הפעלה</t>
  </si>
  <si>
    <t>session_seq</t>
  </si>
  <si>
    <t>מספר ה-session של המשתמש</t>
  </si>
  <si>
    <t>is_session_start</t>
  </si>
  <si>
    <t>האירוע שפתח את ה-session</t>
  </si>
  <si>
    <t>analysis_ids</t>
  </si>
  <si>
    <t>מזהי האנליזות שמאחורי הדשבורד</t>
  </si>
  <si>
    <t>dataset_ids</t>
  </si>
  <si>
    <t>מזהי ה-Datasets שמזינים את הדשבורד</t>
  </si>
  <si>
    <t>aws_region</t>
  </si>
  <si>
    <t>האזור שבו יושב QuickSight</t>
  </si>
  <si>
    <t>etl_load_ts</t>
  </si>
  <si>
    <t>מועד ריצת ה-ETL</t>
  </si>
  <si>
    <t>WHERE a.association_name not like '%בדיק%'
	and a.association_type = 'איגוד ספורט'</t>
  </si>
  <si>
    <t>איגודים</t>
  </si>
  <si>
    <t>מזהה הדשבורד ב-QuickSight</t>
  </si>
  <si>
    <t>mrr_qs_dashboard</t>
  </si>
  <si>
    <t>dashboard_arn</t>
  </si>
  <si>
    <t>מזהה AWS מלא של הדשבורד</t>
  </si>
  <si>
    <t>שם הדשבורד</t>
  </si>
  <si>
    <t>סטטוס מחזור חיים</t>
  </si>
  <si>
    <t>)</t>
  </si>
  <si>
    <t>first_seen_ts</t>
  </si>
  <si>
    <t>מועד הצפייה הראשונה</t>
  </si>
  <si>
    <t>last_seen_ts</t>
  </si>
  <si>
    <t>מועד הצפייה האחרונה</t>
  </si>
  <si>
    <t>days_since_last_view</t>
  </si>
  <si>
    <t>ימים מאז הצפייה האחרונה</t>
  </si>
  <si>
    <t>lifespan_days</t>
  </si>
  <si>
    <t>טווח החיים בימים</t>
  </si>
  <si>
    <t>total_views</t>
  </si>
  <si>
    <t>סך הצפיות בדשבורד</t>
  </si>
  <si>
    <t>distinct_users_all_time</t>
  </si>
  <si>
    <t>משתמשים ייחודיים שצפו</t>
  </si>
  <si>
    <t>name_duplicate_count</t>
  </si>
  <si>
    <t>כמה דשבורדים נושאים אותו שם</t>
  </si>
  <si>
    <t>dashboards_in_family</t>
  </si>
  <si>
    <t>מספר הדשבורדים במשפחה</t>
  </si>
  <si>
    <t>is_primary_in_family</t>
  </si>
  <si>
    <t>האם זו הגרסה הפעילה במשפחה</t>
  </si>
  <si>
    <t>created_time</t>
  </si>
  <si>
    <t>מועד יצירת הדשבורד</t>
  </si>
  <si>
    <t>last_updated_time</t>
  </si>
  <si>
    <t>מועד העדכון האחרון</t>
  </si>
  <si>
    <t>last_published_time</t>
  </si>
  <si>
    <t>מועד הפרסום האחרון</t>
  </si>
  <si>
    <t>published_version_number</t>
  </si>
  <si>
    <t>מספר הגרסה המפורסמת</t>
  </si>
  <si>
    <t>מספר איגוד</t>
  </si>
  <si>
    <t>שם האיגוד</t>
  </si>
  <si>
    <t>provider_num</t>
  </si>
  <si>
    <t>מספר ספק במרכבה</t>
  </si>
  <si>
    <t>main_branch_name</t>
  </si>
  <si>
    <t>ענף ראשי</t>
  </si>
  <si>
    <t>main_branch_code</t>
  </si>
  <si>
    <t>קוד ענף ראשי במערכת CRM</t>
  </si>
  <si>
    <t>WHERE s.society_name not like '%בדיק%'
	and s.society_id &lt;&gt; 0
	  and exists (
	        SELECT 1
	        FROM mrr_aa_new_societyunions su
	        WHERE su.society_code = s.society_code
	          and su.support_request_code &lt;&gt; '')</t>
  </si>
  <si>
    <t>אגודות</t>
  </si>
  <si>
    <t>מספר אגודה</t>
  </si>
  <si>
    <t>mrr_aa_dim_society</t>
  </si>
  <si>
    <t>authority_code</t>
  </si>
  <si>
    <t>קוד רשות מקומית במערכת CRM</t>
  </si>
  <si>
    <t>רשות מקומית - לא רלוונטי</t>
  </si>
  <si>
    <t>FROM mrr_aa_new_localauthorities a
          left join mrr_aa_municipalities m on a.authority_id = m.authority_id</t>
  </si>
  <si>
    <t>רשות מקומית</t>
  </si>
  <si>
    <t>new_localauthorities</t>
  </si>
  <si>
    <t>crm_district</t>
  </si>
  <si>
    <t>מחוז לפי מערכת ה CRM</t>
  </si>
  <si>
    <t>head_authority_name</t>
  </si>
  <si>
    <t>שם ראש הרשות</t>
  </si>
  <si>
    <t>key_authority</t>
  </si>
  <si>
    <t>מפתח רשות מגונרט</t>
  </si>
  <si>
    <t>concat(a.authority_id, ' - ', a.authority_name)</t>
  </si>
  <si>
    <t>lamas_district</t>
  </si>
  <si>
    <t>מחוז לפי הלמ"ס</t>
  </si>
  <si>
    <t>mrr_aa_municipalities</t>
  </si>
  <si>
    <t>municipal_status</t>
  </si>
  <si>
    <t>מעמד מוניצאפלי - רשות / מועצה וכו</t>
  </si>
  <si>
    <t>total_population</t>
  </si>
  <si>
    <t>סה"כ אוכלוסייה</t>
  </si>
  <si>
    <t>jews_others_pct</t>
  </si>
  <si>
    <t>יהודים ואחרים (אחוזים מתוך כלל אוכלוסיית הישראלים)</t>
  </si>
  <si>
    <t>jews_pct</t>
  </si>
  <si>
    <t>יהודים (אחוזים מתוך יהודים ואחרים)</t>
  </si>
  <si>
    <t>arab_pct</t>
  </si>
  <si>
    <t>ערבים (אחוזים מתוך כלל אוכלוסיית הישראלים)</t>
  </si>
  <si>
    <t>muslim_pct</t>
  </si>
  <si>
    <t>מוסלמים (אחוזים מתוך האוכלוסייה הערבית)</t>
  </si>
  <si>
    <t>christian_pct</t>
  </si>
  <si>
    <t>נוצרים (אחוזים מתוך האוכלוסייה הערבית)</t>
  </si>
  <si>
    <t>druze_pct</t>
  </si>
  <si>
    <t>דרוזים (אחוזים מתוך האוכלוסייה הערבית)</t>
  </si>
  <si>
    <t>total_males</t>
  </si>
  <si>
    <t>סה"כ גברים</t>
  </si>
  <si>
    <t>total_females</t>
  </si>
  <si>
    <t>סה"כ נשים</t>
  </si>
  <si>
    <t>total_israelis</t>
  </si>
  <si>
    <t>סה"כ ישראלים</t>
  </si>
  <si>
    <t>socioeconomic_cluster</t>
  </si>
  <si>
    <t>אשכול חברתי</t>
  </si>
  <si>
    <t>peripherality_cluster</t>
  </si>
  <si>
    <t>אשכול פריפריאלי</t>
  </si>
  <si>
    <t>WHERE 1 = 1
	and b.status_code = 1
	and b.branch_name not like '%בדיק%</t>
  </si>
  <si>
    <t>ענפים</t>
  </si>
  <si>
    <t>branch_code</t>
  </si>
  <si>
    <t>קוד ענף במערכת CRM</t>
  </si>
  <si>
    <t>personal_or_group</t>
  </si>
  <si>
    <t>קבוצתי/אישי</t>
  </si>
  <si>
    <t>case when b.personal_or_group = 'אישי רבי משתתפים' then 'אישי'
            else b.personal_or_group 
end as personal_or_group</t>
  </si>
  <si>
    <t>branch_type</t>
  </si>
  <si>
    <t>סוג ענף</t>
  </si>
  <si>
    <t>case when b.is_favorite_branch = 1 then 'מועדף'
                  when b.is_thinking_branch = 1 then 'חשיבה'
	 when b.is_upper_branch = 1 then 'על'
	 else 'רגיל'
end as branch_type,</t>
  </si>
  <si>
    <t>is_sub_branch</t>
  </si>
  <si>
    <t>האם תת ענף?</t>
  </si>
  <si>
    <t>sport_type</t>
  </si>
  <si>
    <t>סוג ספורט -פראלימפי וכו</t>
  </si>
  <si>
    <t>is_olympic_branch</t>
  </si>
  <si>
    <t>האם ענף אולימפי?</t>
  </si>
  <si>
    <t>is_special_needs_branch</t>
  </si>
  <si>
    <t>האם ענף עם צרכים מיוחדים?</t>
  </si>
  <si>
    <t xml:space="preserve">ענף ראשי </t>
  </si>
  <si>
    <t>new_branchs</t>
  </si>
  <si>
    <t>branch_area</t>
  </si>
  <si>
    <t>ייעוד תחום ענף</t>
  </si>
  <si>
    <t>_new_id_areainsupporttest_value_label</t>
  </si>
  <si>
    <t>status_code</t>
  </si>
  <si>
    <t>האם רשומה פעילה</t>
  </si>
  <si>
    <t xml:space="preserve">FROM mrr_aa_new_teams t
	left join mrr_aa_new_supportrequests r on t.support_request_code = r.support_request_code
WHERE r.support_request_code is not null </t>
  </si>
  <si>
    <t>קבוצה (אגודות)</t>
  </si>
  <si>
    <t>new_teams</t>
  </si>
  <si>
    <t>קוד קבוצה במערכת CRM</t>
  </si>
  <si>
    <t>team_achievement_score</t>
  </si>
  <si>
    <t>תוספת הישגיות</t>
  </si>
  <si>
    <t>table name</t>
  </si>
  <si>
    <t>accounts</t>
  </si>
  <si>
    <t>new_societies</t>
  </si>
  <si>
    <t>new_ageforgroups</t>
  </si>
  <si>
    <t>new_trainers</t>
  </si>
  <si>
    <t>new_officials</t>
  </si>
  <si>
    <t>new_athletetoachievements</t>
  </si>
  <si>
    <t>new_groupialbranchachievementse</t>
  </si>
  <si>
    <t>new_branchtoaccounts</t>
  </si>
  <si>
    <t>new_aa_leagues</t>
  </si>
  <si>
    <t>new_societyunions</t>
  </si>
  <si>
    <t>new_europehampionshipforteams</t>
  </si>
  <si>
    <t>new_supportrequests</t>
  </si>
  <si>
    <t>new_athletesinsupportingrequest</t>
  </si>
  <si>
    <t>Sources</t>
  </si>
  <si>
    <t>DL.ivc</t>
  </si>
  <si>
    <t>DL.cb</t>
  </si>
  <si>
    <t>System</t>
  </si>
  <si>
    <t>Categories</t>
  </si>
  <si>
    <t>Category1</t>
  </si>
  <si>
    <t>Category2</t>
  </si>
  <si>
    <t>Versions</t>
  </si>
  <si>
    <t>Core 1.1</t>
  </si>
  <si>
    <t>Extention</t>
  </si>
  <si>
    <t>STT Statuses</t>
  </si>
  <si>
    <t>Ready for Review</t>
  </si>
  <si>
    <t>In Review</t>
  </si>
  <si>
    <t>On Hold</t>
  </si>
  <si>
    <t>Done</t>
  </si>
  <si>
    <t>ETL Statuses</t>
  </si>
  <si>
    <t>Dev Done</t>
  </si>
  <si>
    <t>Prod Done</t>
  </si>
  <si>
    <t>Statuses</t>
  </si>
  <si>
    <t>Data Types</t>
  </si>
  <si>
    <t>Snowflake Data Types</t>
  </si>
  <si>
    <t>variant</t>
  </si>
  <si>
    <t>object</t>
  </si>
  <si>
    <t>array</t>
  </si>
  <si>
    <t>geography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</si>
</sst>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2">
    <font>
      <sz val="10"/>
      <color rgb="FF000000"/>
      <name val="Arial"/>
      <scheme val="minor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1"/>
      <color rgb="FF008000"/>
      <name val="Inconsolata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color rgb="FFFFFFFF"/>
      <name val="Calibri"/>
      <family val="2"/>
    </font>
    <font>
      <b/>
      <sz val="10"/>
      <color theme="1"/>
      <name val="Calibri"/>
      <family val="2"/>
    </font>
    <font>
      <sz val="9"/>
      <color theme="1"/>
      <name val="Calibri"/>
      <family val="2"/>
    </font>
    <font>
      <b/>
      <sz val="9"/>
      <color theme="1"/>
      <name val="Calibri"/>
      <family val="2"/>
    </font>
    <font>
      <sz val="10"/>
      <name val="Calibri"/>
      <family val="2"/>
    </font>
    <font>
      <sz val="11"/>
      <color rgb="FF008000"/>
      <name val="Calibri"/>
      <family val="2"/>
    </font>
    <font>
      <sz val="8"/>
      <name val="Arial"/>
      <family val="2"/>
      <scheme val="minor"/>
    </font>
    <font>
      <sz val="8"/>
      <name val="Arial"/>
      <family val="2"/>
      <scheme val="minor"/>
    </font>
    <font>
      <sz val="10"/>
      <color rgb="FFFF0000"/>
      <name val="Calibri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0"/>
      <color rgb="FFFF0000"/>
      <name val="Arial"/>
      <family val="2"/>
      <scheme val="minor"/>
    </font>
    <font>
      <strike/>
      <sz val="10"/>
      <color theme="1"/>
      <name val="Calibri"/>
      <family val="2"/>
    </font>
    <font>
      <strike/>
      <sz val="10"/>
      <color rgb="FF000000"/>
      <name val="Calibri"/>
      <family val="2"/>
    </font>
    <font>
      <strike/>
      <sz val="1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4285F4"/>
        <bgColor rgb="FF4285F4"/>
      </patternFill>
    </fill>
    <fill>
      <patternFill patternType="solid">
        <fgColor rgb="FFFCE5CD"/>
        <bgColor rgb="FFFCE5CD"/>
      </patternFill>
    </fill>
    <fill>
      <patternFill patternType="solid">
        <fgColor rgb="FFCFE2F3"/>
        <bgColor rgb="FFCFE2F3"/>
      </patternFill>
    </fill>
    <fill>
      <patternFill patternType="solid">
        <fgColor theme="7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textRotation="255"/>
    </xf>
    <xf numFmtId="0" fontId="1" fillId="5" borderId="1" xfId="0" applyFont="1" applyFill="1" applyBorder="1"/>
    <xf numFmtId="0" fontId="1" fillId="7" borderId="1" xfId="0" applyFont="1" applyFill="1" applyBorder="1"/>
    <xf numFmtId="0" fontId="4" fillId="11" borderId="11" xfId="0" applyFont="1" applyFill="1" applyBorder="1"/>
    <xf numFmtId="0" fontId="3" fillId="0" borderId="0" xfId="0" applyFont="1"/>
    <xf numFmtId="0" fontId="1" fillId="0" borderId="1" xfId="0" applyFont="1" applyBorder="1"/>
    <xf numFmtId="0" fontId="3" fillId="0" borderId="1" xfId="0" applyFont="1" applyBorder="1"/>
    <xf numFmtId="0" fontId="1" fillId="10" borderId="13" xfId="0" applyFont="1" applyFill="1" applyBorder="1" applyAlignment="1">
      <alignment vertical="top" wrapText="1"/>
    </xf>
    <xf numFmtId="0" fontId="8" fillId="9" borderId="1" xfId="0" applyFont="1" applyFill="1" applyBorder="1" applyAlignment="1">
      <alignment horizontal="center"/>
    </xf>
    <xf numFmtId="0" fontId="12" fillId="11" borderId="2" xfId="0" applyFont="1" applyFill="1" applyBorder="1"/>
    <xf numFmtId="0" fontId="6" fillId="5" borderId="1" xfId="0" applyFont="1" applyFill="1" applyBorder="1"/>
    <xf numFmtId="0" fontId="6" fillId="7" borderId="1" xfId="0" applyFont="1" applyFill="1" applyBorder="1"/>
    <xf numFmtId="0" fontId="12" fillId="11" borderId="6" xfId="0" applyFont="1" applyFill="1" applyBorder="1"/>
    <xf numFmtId="0" fontId="6" fillId="10" borderId="13" xfId="0" applyFont="1" applyFill="1" applyBorder="1" applyAlignment="1">
      <alignment vertical="top" wrapText="1"/>
    </xf>
    <xf numFmtId="0" fontId="6" fillId="10" borderId="1" xfId="0" applyFont="1" applyFill="1" applyBorder="1" applyAlignment="1">
      <alignment vertical="top" wrapText="1"/>
    </xf>
    <xf numFmtId="0" fontId="6" fillId="4" borderId="1" xfId="0" applyFont="1" applyFill="1" applyBorder="1" applyAlignment="1">
      <alignment horizontal="left" vertical="top" wrapText="1"/>
    </xf>
    <xf numFmtId="0" fontId="0" fillId="0" borderId="0" xfId="0" applyAlignment="1">
      <alignment vertical="top"/>
    </xf>
    <xf numFmtId="0" fontId="8" fillId="2" borderId="1" xfId="0" applyFont="1" applyFill="1" applyBorder="1" applyAlignment="1">
      <alignment vertical="top" wrapText="1"/>
    </xf>
    <xf numFmtId="0" fontId="6" fillId="2" borderId="1" xfId="0" applyFont="1" applyFill="1" applyBorder="1" applyAlignment="1">
      <alignment vertical="top" wrapText="1"/>
    </xf>
    <xf numFmtId="0" fontId="5" fillId="0" borderId="0" xfId="0" applyFont="1" applyAlignment="1">
      <alignment vertical="top"/>
    </xf>
    <xf numFmtId="0" fontId="6" fillId="4" borderId="1" xfId="0" applyFont="1" applyFill="1" applyBorder="1" applyAlignment="1">
      <alignment vertical="top" wrapText="1"/>
    </xf>
    <xf numFmtId="0" fontId="6" fillId="4" borderId="13" xfId="0" applyFont="1" applyFill="1" applyBorder="1" applyAlignment="1">
      <alignment vertical="top" wrapText="1"/>
    </xf>
    <xf numFmtId="0" fontId="1" fillId="4" borderId="13" xfId="0" applyFont="1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/>
    </xf>
    <xf numFmtId="0" fontId="6" fillId="2" borderId="1" xfId="0" applyFont="1" applyFill="1" applyBorder="1" applyAlignment="1">
      <alignment vertical="top"/>
    </xf>
    <xf numFmtId="0" fontId="7" fillId="3" borderId="0" xfId="0" applyFont="1" applyFill="1" applyAlignment="1">
      <alignment vertical="top"/>
    </xf>
    <xf numFmtId="0" fontId="8" fillId="0" borderId="2" xfId="0" applyFont="1" applyBorder="1" applyAlignment="1">
      <alignment vertical="top"/>
    </xf>
    <xf numFmtId="0" fontId="6" fillId="0" borderId="0" xfId="0" applyFont="1" applyAlignment="1">
      <alignment horizontal="center" vertical="top"/>
    </xf>
    <xf numFmtId="0" fontId="6" fillId="10" borderId="13" xfId="0" applyFont="1" applyFill="1" applyBorder="1" applyAlignment="1">
      <alignment horizontal="center" vertical="top"/>
    </xf>
    <xf numFmtId="0" fontId="6" fillId="10" borderId="1" xfId="0" applyFont="1" applyFill="1" applyBorder="1" applyAlignment="1">
      <alignment vertical="top"/>
    </xf>
    <xf numFmtId="0" fontId="6" fillId="10" borderId="13" xfId="0" applyFont="1" applyFill="1" applyBorder="1" applyAlignment="1">
      <alignment vertical="top"/>
    </xf>
    <xf numFmtId="0" fontId="6" fillId="10" borderId="1" xfId="0" applyFont="1" applyFill="1" applyBorder="1" applyAlignment="1">
      <alignment horizontal="center" vertical="top"/>
    </xf>
    <xf numFmtId="0" fontId="6" fillId="10" borderId="11" xfId="0" applyFont="1" applyFill="1" applyBorder="1" applyAlignment="1">
      <alignment vertical="top"/>
    </xf>
    <xf numFmtId="0" fontId="1" fillId="10" borderId="11" xfId="0" applyFont="1" applyFill="1" applyBorder="1" applyAlignment="1">
      <alignment vertical="top"/>
    </xf>
    <xf numFmtId="0" fontId="1" fillId="10" borderId="1" xfId="0" applyFont="1" applyFill="1" applyBorder="1" applyAlignment="1">
      <alignment vertical="top"/>
    </xf>
    <xf numFmtId="0" fontId="1" fillId="10" borderId="1" xfId="0" applyFont="1" applyFill="1" applyBorder="1" applyAlignment="1">
      <alignment horizontal="center" vertical="top"/>
    </xf>
    <xf numFmtId="0" fontId="6" fillId="5" borderId="15" xfId="0" applyFont="1" applyFill="1" applyBorder="1"/>
    <xf numFmtId="0" fontId="6" fillId="7" borderId="13" xfId="0" applyFont="1" applyFill="1" applyBorder="1"/>
    <xf numFmtId="0" fontId="6" fillId="7" borderId="15" xfId="0" applyFont="1" applyFill="1" applyBorder="1"/>
    <xf numFmtId="0" fontId="5" fillId="0" borderId="0" xfId="0" applyFont="1" applyAlignment="1">
      <alignment vertical="top" wrapText="1"/>
    </xf>
    <xf numFmtId="0" fontId="6" fillId="6" borderId="13" xfId="0" applyFont="1" applyFill="1" applyBorder="1"/>
    <xf numFmtId="0" fontId="6" fillId="4" borderId="13" xfId="0" applyFont="1" applyFill="1" applyBorder="1" applyAlignment="1">
      <alignment vertical="top"/>
    </xf>
    <xf numFmtId="0" fontId="6" fillId="4" borderId="15" xfId="0" applyFont="1" applyFill="1" applyBorder="1" applyAlignment="1">
      <alignment vertical="top"/>
    </xf>
    <xf numFmtId="0" fontId="6" fillId="4" borderId="13" xfId="0" applyFont="1" applyFill="1" applyBorder="1" applyAlignment="1">
      <alignment horizontal="left" vertical="top" wrapText="1"/>
    </xf>
    <xf numFmtId="0" fontId="1" fillId="6" borderId="13" xfId="0" applyFont="1" applyFill="1" applyBorder="1"/>
    <xf numFmtId="0" fontId="11" fillId="0" borderId="15" xfId="0" applyFont="1" applyBorder="1"/>
    <xf numFmtId="0" fontId="1" fillId="5" borderId="15" xfId="0" applyFont="1" applyFill="1" applyBorder="1"/>
    <xf numFmtId="0" fontId="6" fillId="6" borderId="14" xfId="0" applyFont="1" applyFill="1" applyBorder="1"/>
    <xf numFmtId="0" fontId="6" fillId="6" borderId="14" xfId="0" applyFont="1" applyFill="1" applyBorder="1" applyAlignment="1">
      <alignment horizontal="left"/>
    </xf>
    <xf numFmtId="0" fontId="0" fillId="12" borderId="0" xfId="0" applyFill="1" applyAlignment="1">
      <alignment vertical="top"/>
    </xf>
    <xf numFmtId="0" fontId="5" fillId="10" borderId="1" xfId="0" applyFont="1" applyFill="1" applyBorder="1" applyAlignment="1">
      <alignment vertical="top"/>
    </xf>
    <xf numFmtId="0" fontId="5" fillId="10" borderId="11" xfId="0" applyFont="1" applyFill="1" applyBorder="1" applyAlignment="1">
      <alignment vertical="top"/>
    </xf>
    <xf numFmtId="0" fontId="5" fillId="10" borderId="15" xfId="0" applyFont="1" applyFill="1" applyBorder="1" applyAlignment="1">
      <alignment horizontal="center" vertical="top"/>
    </xf>
    <xf numFmtId="0" fontId="5" fillId="10" borderId="8" xfId="0" applyFont="1" applyFill="1" applyBorder="1" applyAlignment="1">
      <alignment vertical="top"/>
    </xf>
    <xf numFmtId="0" fontId="5" fillId="10" borderId="8" xfId="0" applyFont="1" applyFill="1" applyBorder="1" applyAlignment="1">
      <alignment horizontal="center" vertical="top"/>
    </xf>
    <xf numFmtId="0" fontId="5" fillId="4" borderId="1" xfId="0" applyFont="1" applyFill="1" applyBorder="1" applyAlignment="1">
      <alignment horizontal="left" vertical="top" wrapText="1"/>
    </xf>
    <xf numFmtId="0" fontId="5" fillId="4" borderId="11" xfId="0" applyFont="1" applyFill="1" applyBorder="1" applyAlignment="1">
      <alignment horizontal="left" vertical="top" wrapText="1"/>
    </xf>
    <xf numFmtId="0" fontId="12" fillId="11" borderId="2" xfId="0" applyFont="1" applyFill="1" applyBorder="1" applyAlignment="1">
      <alignment wrapText="1"/>
    </xf>
    <xf numFmtId="0" fontId="6" fillId="10" borderId="15" xfId="0" applyFont="1" applyFill="1" applyBorder="1" applyAlignment="1">
      <alignment vertical="top"/>
    </xf>
    <xf numFmtId="0" fontId="6" fillId="10" borderId="15" xfId="0" applyFont="1" applyFill="1" applyBorder="1" applyAlignment="1">
      <alignment horizontal="center" vertical="top"/>
    </xf>
    <xf numFmtId="0" fontId="5" fillId="10" borderId="1" xfId="0" applyFont="1" applyFill="1" applyBorder="1" applyAlignment="1">
      <alignment vertical="top" wrapText="1" readingOrder="2"/>
    </xf>
    <xf numFmtId="0" fontId="11" fillId="10" borderId="11" xfId="0" applyFont="1" applyFill="1" applyBorder="1" applyAlignment="1">
      <alignment vertical="top"/>
    </xf>
    <xf numFmtId="0" fontId="5" fillId="10" borderId="15" xfId="0" applyFont="1" applyFill="1" applyBorder="1" applyAlignment="1">
      <alignment vertical="top" readingOrder="2"/>
    </xf>
    <xf numFmtId="0" fontId="5" fillId="10" borderId="15" xfId="0" applyFont="1" applyFill="1" applyBorder="1" applyAlignment="1">
      <alignment vertical="top"/>
    </xf>
    <xf numFmtId="0" fontId="5" fillId="4" borderId="15" xfId="0" applyFont="1" applyFill="1" applyBorder="1" applyAlignment="1">
      <alignment horizontal="left" vertical="top" wrapText="1"/>
    </xf>
    <xf numFmtId="0" fontId="6" fillId="10" borderId="1" xfId="0" applyFont="1" applyFill="1" applyBorder="1" applyAlignment="1">
      <alignment horizontal="left" vertical="top"/>
    </xf>
    <xf numFmtId="0" fontId="15" fillId="4" borderId="13" xfId="0" applyFont="1" applyFill="1" applyBorder="1" applyAlignment="1">
      <alignment vertical="top" wrapText="1"/>
    </xf>
    <xf numFmtId="0" fontId="15" fillId="5" borderId="15" xfId="0" applyFont="1" applyFill="1" applyBorder="1"/>
    <xf numFmtId="0" fontId="15" fillId="5" borderId="1" xfId="0" applyFont="1" applyFill="1" applyBorder="1"/>
    <xf numFmtId="0" fontId="16" fillId="6" borderId="13" xfId="0" applyFont="1" applyFill="1" applyBorder="1"/>
    <xf numFmtId="0" fontId="15" fillId="7" borderId="13" xfId="0" applyFont="1" applyFill="1" applyBorder="1"/>
    <xf numFmtId="0" fontId="15" fillId="7" borderId="15" xfId="0" applyFont="1" applyFill="1" applyBorder="1"/>
    <xf numFmtId="0" fontId="15" fillId="7" borderId="1" xfId="0" applyFont="1" applyFill="1" applyBorder="1"/>
    <xf numFmtId="0" fontId="17" fillId="11" borderId="6" xfId="0" applyFont="1" applyFill="1" applyBorder="1"/>
    <xf numFmtId="0" fontId="18" fillId="0" borderId="0" xfId="0" applyFont="1"/>
    <xf numFmtId="0" fontId="5" fillId="10" borderId="8" xfId="0" applyFont="1" applyFill="1" applyBorder="1" applyAlignment="1">
      <alignment vertical="top" readingOrder="2"/>
    </xf>
    <xf numFmtId="0" fontId="19" fillId="10" borderId="1" xfId="0" applyFont="1" applyFill="1" applyBorder="1" applyAlignment="1">
      <alignment horizontal="left" vertical="top"/>
    </xf>
    <xf numFmtId="0" fontId="19" fillId="10" borderId="1" xfId="0" applyFont="1" applyFill="1" applyBorder="1" applyAlignment="1">
      <alignment vertical="top"/>
    </xf>
    <xf numFmtId="0" fontId="19" fillId="10" borderId="1" xfId="0" applyFont="1" applyFill="1" applyBorder="1" applyAlignment="1">
      <alignment horizontal="center" vertical="top"/>
    </xf>
    <xf numFmtId="0" fontId="19" fillId="4" borderId="1" xfId="0" applyFont="1" applyFill="1" applyBorder="1" applyAlignment="1">
      <alignment horizontal="left" vertical="top" wrapText="1"/>
    </xf>
    <xf numFmtId="0" fontId="19" fillId="4" borderId="13" xfId="0" applyFont="1" applyFill="1" applyBorder="1" applyAlignment="1">
      <alignment vertical="top" wrapText="1"/>
    </xf>
    <xf numFmtId="0" fontId="6" fillId="10" borderId="1" xfId="0" applyFont="1" applyFill="1" applyBorder="1" applyAlignment="1">
      <alignment horizontal="right" vertical="top"/>
    </xf>
    <xf numFmtId="0" fontId="5" fillId="4" borderId="11" xfId="0" applyFont="1" applyFill="1" applyBorder="1" applyAlignment="1">
      <alignment vertical="top" wrapText="1"/>
    </xf>
    <xf numFmtId="0" fontId="5" fillId="4" borderId="1" xfId="0" applyFont="1" applyFill="1" applyBorder="1" applyAlignment="1">
      <alignment wrapText="1"/>
    </xf>
    <xf numFmtId="0" fontId="20" fillId="10" borderId="1" xfId="0" applyFont="1" applyFill="1" applyBorder="1" applyAlignment="1">
      <alignment vertical="top" wrapText="1" readingOrder="2"/>
    </xf>
    <xf numFmtId="0" fontId="19" fillId="4" borderId="1" xfId="0" applyFont="1" applyFill="1" applyBorder="1" applyAlignment="1">
      <alignment vertical="top" wrapText="1"/>
    </xf>
    <xf numFmtId="0" fontId="21" fillId="10" borderId="11" xfId="0" applyFont="1" applyFill="1" applyBorder="1" applyAlignment="1">
      <alignment vertical="top"/>
    </xf>
    <xf numFmtId="0" fontId="1" fillId="7" borderId="13" xfId="0" applyFont="1" applyFill="1" applyBorder="1"/>
    <xf numFmtId="0" fontId="6" fillId="4" borderId="13" xfId="0" applyFont="1" applyFill="1" applyBorder="1" applyAlignment="1">
      <alignment horizontal="right" vertical="top" wrapText="1"/>
    </xf>
    <xf numFmtId="0" fontId="6" fillId="4" borderId="13" xfId="0" applyFont="1" applyFill="1" applyBorder="1" applyAlignment="1">
      <alignment vertical="top"/>
    </xf>
    <xf numFmtId="0" fontId="6" fillId="4" borderId="15" xfId="0" applyFont="1" applyFill="1" applyBorder="1" applyAlignment="1">
      <alignment vertical="top"/>
    </xf>
    <xf numFmtId="0" fontId="19" fillId="4" borderId="13" xfId="0" applyFont="1" applyFill="1" applyBorder="1" applyAlignment="1">
      <alignment vertical="top"/>
    </xf>
    <xf numFmtId="0" fontId="19" fillId="4" borderId="15" xfId="0" applyFont="1" applyFill="1" applyBorder="1" applyAlignment="1">
      <alignment vertical="top"/>
    </xf>
    <xf numFmtId="0" fontId="6" fillId="10" borderId="13" xfId="0" applyFont="1" applyFill="1" applyBorder="1" applyAlignment="1">
      <alignment horizontal="center" vertical="top"/>
    </xf>
    <xf numFmtId="0" fontId="11" fillId="0" borderId="14" xfId="0" applyFont="1" applyBorder="1" applyAlignment="1">
      <alignment vertical="top"/>
    </xf>
    <xf numFmtId="0" fontId="10" fillId="4" borderId="13" xfId="0" applyFont="1" applyFill="1" applyBorder="1" applyAlignment="1">
      <alignment horizontal="left" vertical="top"/>
    </xf>
    <xf numFmtId="0" fontId="11" fillId="0" borderId="15" xfId="0" applyFont="1" applyBorder="1" applyAlignment="1">
      <alignment vertical="top"/>
    </xf>
    <xf numFmtId="0" fontId="6" fillId="7" borderId="13" xfId="0" applyFont="1" applyFill="1" applyBorder="1" applyAlignment="1">
      <alignment horizontal="left"/>
    </xf>
    <xf numFmtId="0" fontId="6" fillId="8" borderId="7" xfId="0" applyFont="1" applyFill="1" applyBorder="1" applyAlignment="1">
      <alignment vertical="top" wrapText="1"/>
    </xf>
    <xf numFmtId="0" fontId="11" fillId="0" borderId="8" xfId="0" applyFont="1" applyBorder="1" applyAlignment="1">
      <alignment vertical="top"/>
    </xf>
    <xf numFmtId="0" fontId="2" fillId="0" borderId="0" xfId="0" applyFont="1" applyAlignment="1">
      <alignment vertical="top"/>
    </xf>
    <xf numFmtId="0" fontId="0" fillId="0" borderId="0" xfId="0" applyAlignment="1">
      <alignment vertical="top"/>
    </xf>
    <xf numFmtId="0" fontId="6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2" fillId="0" borderId="0" xfId="0" applyFont="1" applyAlignment="1">
      <alignment horizontal="center" vertical="top" textRotation="255"/>
    </xf>
    <xf numFmtId="0" fontId="1" fillId="0" borderId="0" xfId="0" applyFont="1" applyAlignment="1">
      <alignment horizontal="center" vertical="center" textRotation="255"/>
    </xf>
    <xf numFmtId="0" fontId="6" fillId="4" borderId="2" xfId="0" applyFont="1" applyFill="1" applyBorder="1" applyAlignment="1">
      <alignment horizontal="center" vertical="top" textRotation="255"/>
    </xf>
    <xf numFmtId="0" fontId="11" fillId="0" borderId="6" xfId="0" applyFont="1" applyBorder="1" applyAlignment="1">
      <alignment vertical="top"/>
    </xf>
    <xf numFmtId="0" fontId="11" fillId="0" borderId="11" xfId="0" applyFont="1" applyBorder="1" applyAlignment="1">
      <alignment vertical="top"/>
    </xf>
    <xf numFmtId="0" fontId="8" fillId="0" borderId="3" xfId="0" applyFont="1" applyBorder="1" applyAlignment="1">
      <alignment vertical="top"/>
    </xf>
    <xf numFmtId="0" fontId="11" fillId="0" borderId="4" xfId="0" applyFont="1" applyBorder="1" applyAlignment="1">
      <alignment vertical="top"/>
    </xf>
    <xf numFmtId="0" fontId="6" fillId="5" borderId="3" xfId="0" applyFont="1" applyFill="1" applyBorder="1" applyAlignment="1">
      <alignment horizontal="center" textRotation="255"/>
    </xf>
    <xf numFmtId="0" fontId="9" fillId="6" borderId="2" xfId="0" applyFont="1" applyFill="1" applyBorder="1" applyAlignment="1">
      <alignment horizontal="center" textRotation="255"/>
    </xf>
    <xf numFmtId="0" fontId="9" fillId="7" borderId="2" xfId="0" applyFont="1" applyFill="1" applyBorder="1" applyAlignment="1">
      <alignment horizontal="center" vertical="center" textRotation="255"/>
    </xf>
    <xf numFmtId="0" fontId="6" fillId="7" borderId="3" xfId="0" applyFont="1" applyFill="1" applyBorder="1" applyAlignment="1">
      <alignment horizontal="center" vertical="center" textRotation="255"/>
    </xf>
    <xf numFmtId="0" fontId="6" fillId="8" borderId="6" xfId="0" applyFont="1" applyFill="1" applyBorder="1" applyAlignment="1">
      <alignment vertical="top" wrapText="1"/>
    </xf>
    <xf numFmtId="0" fontId="5" fillId="4" borderId="13" xfId="0" applyFont="1" applyFill="1" applyBorder="1" applyAlignment="1">
      <alignment vertical="top"/>
    </xf>
    <xf numFmtId="0" fontId="5" fillId="4" borderId="15" xfId="0" applyFont="1" applyFill="1" applyBorder="1" applyAlignment="1">
      <alignment vertical="top"/>
    </xf>
    <xf numFmtId="0" fontId="0" fillId="0" borderId="0" xfId="0" applyAlignment="1"/>
    <xf numFmtId="0" fontId="11" fillId="0" borderId="5" xfId="0" applyFont="1" applyBorder="1" applyAlignment="1"/>
    <xf numFmtId="0" fontId="11" fillId="0" borderId="4" xfId="0" applyFont="1" applyBorder="1" applyAlignment="1"/>
    <xf numFmtId="0" fontId="5" fillId="0" borderId="9" xfId="0" applyFont="1" applyBorder="1" applyAlignment="1"/>
    <xf numFmtId="0" fontId="5" fillId="0" borderId="0" xfId="0" applyFont="1" applyAlignment="1"/>
    <xf numFmtId="0" fontId="11" fillId="0" borderId="9" xfId="0" applyFont="1" applyBorder="1" applyAlignment="1"/>
    <xf numFmtId="0" fontId="11" fillId="0" borderId="10" xfId="0" applyFont="1" applyBorder="1" applyAlignment="1"/>
    <xf numFmtId="0" fontId="11" fillId="0" borderId="6" xfId="0" applyFont="1" applyBorder="1" applyAlignment="1"/>
    <xf numFmtId="0" fontId="5" fillId="0" borderId="7" xfId="0" applyFont="1" applyBorder="1" applyAlignment="1"/>
    <xf numFmtId="0" fontId="5" fillId="0" borderId="12" xfId="0" applyFont="1" applyBorder="1" applyAlignment="1"/>
    <xf numFmtId="0" fontId="11" fillId="0" borderId="7" xfId="0" applyFont="1" applyBorder="1" applyAlignment="1"/>
    <xf numFmtId="0" fontId="11" fillId="0" borderId="12" xfId="0" applyFont="1" applyBorder="1" applyAlignment="1"/>
    <xf numFmtId="0" fontId="11" fillId="0" borderId="8" xfId="0" applyFont="1" applyBorder="1" applyAlignment="1"/>
    <xf numFmtId="0" fontId="11" fillId="0" borderId="11" xfId="0" applyFont="1" applyBorder="1" applyAlignment="1"/>
    <xf numFmtId="0" fontId="11" fillId="0" borderId="14" xfId="0" applyFont="1" applyBorder="1" applyAlignment="1"/>
    <xf numFmtId="0" fontId="11" fillId="0" borderId="15" xfId="0" applyFont="1" applyBorder="1" applyAlignment="1"/>
    <xf numFmtId="0" fontId="6" fillId="7" borderId="13" xfId="0" applyFont="1" applyFill="1" applyBorder="1" applyAlignment="1"/>
    <xf numFmtId="0" fontId="6" fillId="7" borderId="15" xfId="0" applyFont="1" applyFill="1" applyBorder="1" applyAlignment="1"/>
    <xf numFmtId="0" fontId="1" fillId="7" borderId="13" xfId="0" applyFont="1" applyFill="1" applyBorder="1" applyAlignment="1"/>
    <xf numFmtId="0" fontId="1" fillId="7" borderId="15" xfId="0" applyFont="1" applyFill="1" applyBorder="1" applyAlignment="1"/>
  </cellXfs>
  <cellStyles count="1">
    <cellStyle name="Normal" xfId="0" builtinId="0"/>
  </cellStyles>
  <dxfs count="126">
    <dxf>
      <font>
        <color rgb="FF000000"/>
      </font>
      <fill>
        <patternFill patternType="solid">
          <fgColor rgb="FFA4C2F4"/>
          <bgColor rgb="FFA4C2F4"/>
        </patternFill>
      </fill>
    </dxf>
    <dxf>
      <font>
        <color rgb="FF000000"/>
      </font>
      <fill>
        <patternFill patternType="solid">
          <fgColor rgb="FFA2C4C9"/>
          <bgColor rgb="FFA2C4C9"/>
        </patternFill>
      </fill>
    </dxf>
    <dxf>
      <font>
        <b/>
        <color rgb="FFFF0000"/>
      </font>
      <fill>
        <patternFill patternType="solid">
          <fgColor rgb="FFEA9999"/>
          <bgColor rgb="FFEA9999"/>
        </patternFill>
      </fill>
    </dxf>
    <dxf>
      <font>
        <b/>
        <color rgb="FF34A853"/>
      </font>
      <fill>
        <patternFill patternType="solid">
          <fgColor rgb="FFB7E1CD"/>
          <bgColor rgb="FFB7E1CD"/>
        </patternFill>
      </fill>
    </dxf>
    <dxf>
      <font>
        <strike/>
        <color rgb="FFFFFFFF"/>
      </font>
      <fill>
        <patternFill patternType="solid">
          <fgColor rgb="FFCC0000"/>
          <bgColor rgb="FFCC0000"/>
        </patternFill>
      </fill>
    </dxf>
    <dxf>
      <font>
        <color rgb="FF000000"/>
      </font>
      <fill>
        <patternFill patternType="solid">
          <fgColor rgb="FFA4C2F4"/>
          <bgColor rgb="FFA4C2F4"/>
        </patternFill>
      </fill>
    </dxf>
    <dxf>
      <font>
        <color rgb="FF000000"/>
      </font>
      <fill>
        <patternFill patternType="solid">
          <fgColor rgb="FFA2C4C9"/>
          <bgColor rgb="FFA2C4C9"/>
        </patternFill>
      </fill>
    </dxf>
    <dxf>
      <font>
        <b/>
        <color rgb="FFFF0000"/>
      </font>
      <fill>
        <patternFill patternType="solid">
          <fgColor rgb="FFEA9999"/>
          <bgColor rgb="FFEA9999"/>
        </patternFill>
      </fill>
    </dxf>
    <dxf>
      <font>
        <b/>
        <color rgb="FF34A853"/>
      </font>
      <fill>
        <patternFill patternType="solid">
          <fgColor rgb="FFB7E1CD"/>
          <bgColor rgb="FFB7E1CD"/>
        </patternFill>
      </fill>
    </dxf>
    <dxf>
      <font>
        <strike/>
        <color rgb="FFFFFFFF"/>
      </font>
      <fill>
        <patternFill patternType="solid">
          <fgColor rgb="FFCC0000"/>
          <bgColor rgb="FFCC0000"/>
        </patternFill>
      </fill>
    </dxf>
    <dxf>
      <font>
        <color rgb="FF000000"/>
      </font>
      <fill>
        <patternFill patternType="solid">
          <fgColor rgb="FFA4C2F4"/>
          <bgColor rgb="FFA4C2F4"/>
        </patternFill>
      </fill>
    </dxf>
    <dxf>
      <font>
        <color rgb="FF000000"/>
      </font>
      <fill>
        <patternFill patternType="solid">
          <fgColor rgb="FFA2C4C9"/>
          <bgColor rgb="FFA2C4C9"/>
        </patternFill>
      </fill>
    </dxf>
    <dxf>
      <font>
        <b/>
        <color rgb="FFFF0000"/>
      </font>
      <fill>
        <patternFill patternType="solid">
          <fgColor rgb="FFEA9999"/>
          <bgColor rgb="FFEA9999"/>
        </patternFill>
      </fill>
    </dxf>
    <dxf>
      <font>
        <b/>
        <color rgb="FF34A853"/>
      </font>
      <fill>
        <patternFill patternType="solid">
          <fgColor rgb="FFB7E1CD"/>
          <bgColor rgb="FFB7E1CD"/>
        </patternFill>
      </fill>
    </dxf>
    <dxf>
      <font>
        <strike/>
        <color rgb="FFFFFFFF"/>
      </font>
      <fill>
        <patternFill patternType="solid">
          <fgColor rgb="FFCC0000"/>
          <bgColor rgb="FFCC0000"/>
        </patternFill>
      </fill>
    </dxf>
    <dxf>
      <font>
        <strike/>
        <color rgb="FFFFFFFF"/>
      </font>
      <fill>
        <patternFill patternType="solid">
          <fgColor rgb="FFCC0000"/>
          <bgColor rgb="FFCC0000"/>
        </patternFill>
      </fill>
    </dxf>
    <dxf>
      <font>
        <strike/>
        <color rgb="FFFFFFFF"/>
      </font>
      <fill>
        <patternFill patternType="solid">
          <fgColor rgb="FFCC0000"/>
          <bgColor rgb="FFCC0000"/>
        </patternFill>
      </fill>
    </dxf>
    <dxf>
      <font>
        <color rgb="FF000000"/>
      </font>
      <fill>
        <patternFill patternType="solid">
          <fgColor rgb="FFA4C2F4"/>
          <bgColor rgb="FFA4C2F4"/>
        </patternFill>
      </fill>
    </dxf>
    <dxf>
      <font>
        <color rgb="FF000000"/>
      </font>
      <fill>
        <patternFill patternType="solid">
          <fgColor rgb="FFA2C4C9"/>
          <bgColor rgb="FFA2C4C9"/>
        </patternFill>
      </fill>
    </dxf>
    <dxf>
      <font>
        <b/>
        <color rgb="FFFF0000"/>
      </font>
      <fill>
        <patternFill patternType="solid">
          <fgColor rgb="FFEA9999"/>
          <bgColor rgb="FFEA9999"/>
        </patternFill>
      </fill>
    </dxf>
    <dxf>
      <font>
        <b/>
        <color rgb="FF34A853"/>
      </font>
      <fill>
        <patternFill patternType="solid">
          <fgColor rgb="FFB7E1CD"/>
          <bgColor rgb="FFB7E1CD"/>
        </patternFill>
      </fill>
    </dxf>
    <dxf>
      <font>
        <strike/>
        <color rgb="FFFFFFFF"/>
      </font>
      <fill>
        <patternFill patternType="solid">
          <fgColor rgb="FFCC0000"/>
          <bgColor rgb="FFCC0000"/>
        </patternFill>
      </fill>
    </dxf>
    <dxf>
      <font>
        <color rgb="FF000000"/>
      </font>
      <fill>
        <patternFill patternType="solid">
          <fgColor rgb="FFA4C2F4"/>
          <bgColor rgb="FFA4C2F4"/>
        </patternFill>
      </fill>
    </dxf>
    <dxf>
      <font>
        <color rgb="FF000000"/>
      </font>
      <fill>
        <patternFill patternType="solid">
          <fgColor rgb="FFA2C4C9"/>
          <bgColor rgb="FFA2C4C9"/>
        </patternFill>
      </fill>
    </dxf>
    <dxf>
      <font>
        <b/>
        <color rgb="FFFF0000"/>
      </font>
      <fill>
        <patternFill patternType="solid">
          <fgColor rgb="FFEA9999"/>
          <bgColor rgb="FFEA9999"/>
        </patternFill>
      </fill>
    </dxf>
    <dxf>
      <font>
        <b/>
        <color rgb="FF34A853"/>
      </font>
      <fill>
        <patternFill patternType="solid">
          <fgColor rgb="FFB7E1CD"/>
          <bgColor rgb="FFB7E1CD"/>
        </patternFill>
      </fill>
    </dxf>
    <dxf>
      <font>
        <strike/>
        <color rgb="FFFFFFFF"/>
      </font>
      <fill>
        <patternFill patternType="solid">
          <fgColor rgb="FFCC0000"/>
          <bgColor rgb="FFCC0000"/>
        </patternFill>
      </fill>
    </dxf>
    <dxf>
      <font>
        <color rgb="FF000000"/>
      </font>
      <fill>
        <patternFill patternType="solid">
          <fgColor rgb="FFA4C2F4"/>
          <bgColor rgb="FFA4C2F4"/>
        </patternFill>
      </fill>
    </dxf>
    <dxf>
      <font>
        <color rgb="FF000000"/>
      </font>
      <fill>
        <patternFill patternType="solid">
          <fgColor rgb="FFA2C4C9"/>
          <bgColor rgb="FFA2C4C9"/>
        </patternFill>
      </fill>
    </dxf>
    <dxf>
      <font>
        <b/>
        <color rgb="FFFF0000"/>
      </font>
      <fill>
        <patternFill patternType="solid">
          <fgColor rgb="FFEA9999"/>
          <bgColor rgb="FFEA9999"/>
        </patternFill>
      </fill>
    </dxf>
    <dxf>
      <font>
        <b/>
        <color rgb="FF34A853"/>
      </font>
      <fill>
        <patternFill patternType="solid">
          <fgColor rgb="FFB7E1CD"/>
          <bgColor rgb="FFB7E1CD"/>
        </patternFill>
      </fill>
    </dxf>
    <dxf>
      <font>
        <strike/>
        <color rgb="FFFFFFFF"/>
      </font>
      <fill>
        <patternFill patternType="solid">
          <fgColor rgb="FFCC0000"/>
          <bgColor rgb="FFCC0000"/>
        </patternFill>
      </fill>
    </dxf>
    <dxf>
      <font>
        <color rgb="FF000000"/>
      </font>
      <fill>
        <patternFill patternType="solid">
          <fgColor rgb="FFA4C2F4"/>
          <bgColor rgb="FFA4C2F4"/>
        </patternFill>
      </fill>
    </dxf>
    <dxf>
      <font>
        <color rgb="FF000000"/>
      </font>
      <fill>
        <patternFill patternType="solid">
          <fgColor rgb="FFA2C4C9"/>
          <bgColor rgb="FFA2C4C9"/>
        </patternFill>
      </fill>
    </dxf>
    <dxf>
      <font>
        <b/>
        <color rgb="FFFF0000"/>
      </font>
      <fill>
        <patternFill patternType="solid">
          <fgColor rgb="FFEA9999"/>
          <bgColor rgb="FFEA9999"/>
        </patternFill>
      </fill>
    </dxf>
    <dxf>
      <font>
        <b/>
        <color rgb="FF34A853"/>
      </font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A4C2F4"/>
          <bgColor rgb="FFA4C2F4"/>
        </patternFill>
      </fill>
    </dxf>
    <dxf>
      <font>
        <color rgb="FF000000"/>
      </font>
      <fill>
        <patternFill patternType="solid">
          <fgColor rgb="FFA2C4C9"/>
          <bgColor rgb="FFA2C4C9"/>
        </patternFill>
      </fill>
    </dxf>
    <dxf>
      <font>
        <b/>
        <color rgb="FFFF0000"/>
      </font>
      <fill>
        <patternFill patternType="solid">
          <fgColor rgb="FFEA9999"/>
          <bgColor rgb="FFEA9999"/>
        </patternFill>
      </fill>
    </dxf>
    <dxf>
      <font>
        <b/>
        <color rgb="FF34A853"/>
      </font>
      <fill>
        <patternFill patternType="solid">
          <fgColor rgb="FFB7E1CD"/>
          <bgColor rgb="FFB7E1CD"/>
        </patternFill>
      </fill>
    </dxf>
    <dxf>
      <font>
        <strike/>
        <color rgb="FFFFFFFF"/>
      </font>
      <fill>
        <patternFill patternType="solid">
          <fgColor rgb="FFCC0000"/>
          <bgColor rgb="FFCC0000"/>
        </patternFill>
      </fill>
    </dxf>
    <dxf>
      <font>
        <strike/>
        <color rgb="FFFFFFFF"/>
      </font>
      <fill>
        <patternFill patternType="solid">
          <fgColor rgb="FFCC0000"/>
          <bgColor rgb="FFCC0000"/>
        </patternFill>
      </fill>
    </dxf>
    <dxf>
      <font>
        <color rgb="FF000000"/>
      </font>
      <fill>
        <patternFill patternType="solid">
          <fgColor rgb="FFA4C2F4"/>
          <bgColor rgb="FFA4C2F4"/>
        </patternFill>
      </fill>
    </dxf>
    <dxf>
      <font>
        <color rgb="FF000000"/>
      </font>
      <fill>
        <patternFill patternType="solid">
          <fgColor rgb="FFA2C4C9"/>
          <bgColor rgb="FFA2C4C9"/>
        </patternFill>
      </fill>
    </dxf>
    <dxf>
      <font>
        <b/>
        <color rgb="FFFF0000"/>
      </font>
      <fill>
        <patternFill patternType="solid">
          <fgColor rgb="FFEA9999"/>
          <bgColor rgb="FFEA9999"/>
        </patternFill>
      </fill>
    </dxf>
    <dxf>
      <font>
        <b/>
        <color rgb="FF34A853"/>
      </font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A4C2F4"/>
          <bgColor rgb="FFA4C2F4"/>
        </patternFill>
      </fill>
    </dxf>
    <dxf>
      <font>
        <color rgb="FF000000"/>
      </font>
      <fill>
        <patternFill patternType="solid">
          <fgColor rgb="FFA2C4C9"/>
          <bgColor rgb="FFA2C4C9"/>
        </patternFill>
      </fill>
    </dxf>
    <dxf>
      <font>
        <b/>
        <color rgb="FFFF0000"/>
      </font>
      <fill>
        <patternFill patternType="solid">
          <fgColor rgb="FFEA9999"/>
          <bgColor rgb="FFEA9999"/>
        </patternFill>
      </fill>
    </dxf>
    <dxf>
      <font>
        <b/>
        <color rgb="FF34A853"/>
      </font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A4C2F4"/>
          <bgColor rgb="FFA4C2F4"/>
        </patternFill>
      </fill>
    </dxf>
    <dxf>
      <font>
        <color rgb="FF000000"/>
      </font>
      <fill>
        <patternFill patternType="solid">
          <fgColor rgb="FFA2C4C9"/>
          <bgColor rgb="FFA2C4C9"/>
        </patternFill>
      </fill>
    </dxf>
    <dxf>
      <font>
        <b/>
        <color rgb="FFFF0000"/>
      </font>
      <fill>
        <patternFill patternType="solid">
          <fgColor rgb="FFEA9999"/>
          <bgColor rgb="FFEA9999"/>
        </patternFill>
      </fill>
    </dxf>
    <dxf>
      <font>
        <b/>
        <color rgb="FF34A853"/>
      </font>
      <fill>
        <patternFill patternType="solid">
          <fgColor rgb="FFB7E1CD"/>
          <bgColor rgb="FFB7E1CD"/>
        </patternFill>
      </fill>
    </dxf>
    <dxf>
      <font>
        <strike/>
        <color rgb="FFFFFFFF"/>
      </font>
      <fill>
        <patternFill patternType="solid">
          <fgColor rgb="FFCC0000"/>
          <bgColor rgb="FFCC0000"/>
        </patternFill>
      </fill>
    </dxf>
    <dxf>
      <font>
        <strike/>
        <color rgb="FFFFFFFF"/>
      </font>
      <fill>
        <patternFill patternType="solid">
          <fgColor rgb="FFCC0000"/>
          <bgColor rgb="FFCC0000"/>
        </patternFill>
      </fill>
    </dxf>
    <dxf>
      <font>
        <color rgb="FF000000"/>
      </font>
      <fill>
        <patternFill patternType="solid">
          <fgColor rgb="FFA4C2F4"/>
          <bgColor rgb="FFA4C2F4"/>
        </patternFill>
      </fill>
    </dxf>
    <dxf>
      <font>
        <color rgb="FF000000"/>
      </font>
      <fill>
        <patternFill patternType="solid">
          <fgColor rgb="FFA2C4C9"/>
          <bgColor rgb="FFA2C4C9"/>
        </patternFill>
      </fill>
    </dxf>
    <dxf>
      <font>
        <b/>
        <color rgb="FFFF0000"/>
      </font>
      <fill>
        <patternFill patternType="solid">
          <fgColor rgb="FFEA9999"/>
          <bgColor rgb="FFEA9999"/>
        </patternFill>
      </fill>
    </dxf>
    <dxf>
      <font>
        <b/>
        <color rgb="FF34A853"/>
      </font>
      <fill>
        <patternFill patternType="solid">
          <fgColor rgb="FFB7E1CD"/>
          <bgColor rgb="FFB7E1CD"/>
        </patternFill>
      </fill>
    </dxf>
    <dxf>
      <font>
        <strike/>
        <color rgb="FFFFFFFF"/>
      </font>
      <fill>
        <patternFill patternType="solid">
          <fgColor rgb="FFCC0000"/>
          <bgColor rgb="FFCC0000"/>
        </patternFill>
      </fill>
    </dxf>
    <dxf>
      <font>
        <strike/>
        <color rgb="FFFFFFFF"/>
      </font>
      <fill>
        <patternFill patternType="solid">
          <fgColor rgb="FFCC0000"/>
          <bgColor rgb="FFCC0000"/>
        </patternFill>
      </fill>
    </dxf>
    <dxf>
      <font>
        <color rgb="FF000000"/>
      </font>
      <fill>
        <patternFill patternType="solid">
          <fgColor rgb="FFA4C2F4"/>
          <bgColor rgb="FFA4C2F4"/>
        </patternFill>
      </fill>
    </dxf>
    <dxf>
      <font>
        <color rgb="FF000000"/>
      </font>
      <fill>
        <patternFill patternType="solid">
          <fgColor rgb="FFA2C4C9"/>
          <bgColor rgb="FFA2C4C9"/>
        </patternFill>
      </fill>
    </dxf>
    <dxf>
      <font>
        <b/>
        <color rgb="FFFF0000"/>
      </font>
      <fill>
        <patternFill patternType="solid">
          <fgColor rgb="FFEA9999"/>
          <bgColor rgb="FFEA9999"/>
        </patternFill>
      </fill>
    </dxf>
    <dxf>
      <font>
        <b/>
        <color rgb="FF34A853"/>
      </font>
      <fill>
        <patternFill patternType="solid">
          <fgColor rgb="FFB7E1CD"/>
          <bgColor rgb="FFB7E1CD"/>
        </patternFill>
      </fill>
    </dxf>
    <dxf>
      <font>
        <strike/>
        <color rgb="FFFFFFFF"/>
      </font>
      <fill>
        <patternFill patternType="solid">
          <fgColor rgb="FFCC0000"/>
          <bgColor rgb="FFCC0000"/>
        </patternFill>
      </fill>
    </dxf>
    <dxf>
      <font>
        <strike/>
        <color rgb="FFFFFFFF"/>
      </font>
      <fill>
        <patternFill patternType="solid">
          <fgColor rgb="FFCC0000"/>
          <bgColor rgb="FFCC0000"/>
        </patternFill>
      </fill>
    </dxf>
    <dxf>
      <font>
        <strike/>
        <color rgb="FFFFFFFF"/>
      </font>
      <fill>
        <patternFill patternType="solid">
          <fgColor rgb="FFCC0000"/>
          <bgColor rgb="FFCC0000"/>
        </patternFill>
      </fill>
    </dxf>
    <dxf>
      <font>
        <color rgb="FF000000"/>
      </font>
      <fill>
        <patternFill patternType="solid">
          <fgColor rgb="FFA4C2F4"/>
          <bgColor rgb="FFA4C2F4"/>
        </patternFill>
      </fill>
    </dxf>
    <dxf>
      <font>
        <color rgb="FF000000"/>
      </font>
      <fill>
        <patternFill patternType="solid">
          <fgColor rgb="FFA2C4C9"/>
          <bgColor rgb="FFA2C4C9"/>
        </patternFill>
      </fill>
    </dxf>
    <dxf>
      <font>
        <b/>
        <color rgb="FFFF0000"/>
      </font>
      <fill>
        <patternFill patternType="solid">
          <fgColor rgb="FFEA9999"/>
          <bgColor rgb="FFEA9999"/>
        </patternFill>
      </fill>
    </dxf>
    <dxf>
      <font>
        <b/>
        <color rgb="FF34A853"/>
      </font>
      <fill>
        <patternFill patternType="solid">
          <fgColor rgb="FFB7E1CD"/>
          <bgColor rgb="FFB7E1CD"/>
        </patternFill>
      </fill>
    </dxf>
    <dxf>
      <font>
        <strike/>
        <color rgb="FFFFFFFF"/>
      </font>
      <fill>
        <patternFill patternType="solid">
          <fgColor rgb="FFCC0000"/>
          <bgColor rgb="FFCC0000"/>
        </patternFill>
      </fill>
    </dxf>
    <dxf>
      <font>
        <strike/>
        <color rgb="FFFFFFFF"/>
      </font>
      <fill>
        <patternFill patternType="solid">
          <fgColor rgb="FFCC0000"/>
          <bgColor rgb="FFCC0000"/>
        </patternFill>
      </fill>
    </dxf>
    <dxf>
      <font>
        <strike/>
        <color rgb="FFFFFFFF"/>
      </font>
      <fill>
        <patternFill patternType="solid">
          <fgColor rgb="FFCC0000"/>
          <bgColor rgb="FFCC0000"/>
        </patternFill>
      </fill>
    </dxf>
    <dxf>
      <font>
        <strike/>
        <color rgb="FFFFFFFF"/>
      </font>
      <fill>
        <patternFill patternType="solid">
          <fgColor rgb="FFCC0000"/>
          <bgColor rgb="FFCC0000"/>
        </patternFill>
      </fill>
    </dxf>
    <dxf>
      <font>
        <color rgb="FF000000"/>
      </font>
      <fill>
        <patternFill patternType="solid">
          <fgColor rgb="FFA4C2F4"/>
          <bgColor rgb="FFA4C2F4"/>
        </patternFill>
      </fill>
    </dxf>
    <dxf>
      <font>
        <color rgb="FF000000"/>
      </font>
      <fill>
        <patternFill patternType="solid">
          <fgColor rgb="FFA2C4C9"/>
          <bgColor rgb="FFA2C4C9"/>
        </patternFill>
      </fill>
    </dxf>
    <dxf>
      <font>
        <b/>
        <color rgb="FFFF0000"/>
      </font>
      <fill>
        <patternFill patternType="solid">
          <fgColor rgb="FFEA9999"/>
          <bgColor rgb="FFEA9999"/>
        </patternFill>
      </fill>
    </dxf>
    <dxf>
      <font>
        <b/>
        <color rgb="FF34A853"/>
      </font>
      <fill>
        <patternFill patternType="solid">
          <fgColor rgb="FFB7E1CD"/>
          <bgColor rgb="FFB7E1CD"/>
        </patternFill>
      </fill>
    </dxf>
    <dxf>
      <font>
        <strike/>
        <color rgb="FFFFFFFF"/>
      </font>
      <fill>
        <patternFill patternType="solid">
          <fgColor rgb="FFCC0000"/>
          <bgColor rgb="FFCC0000"/>
        </patternFill>
      </fill>
    </dxf>
    <dxf>
      <font>
        <strike/>
        <color rgb="FFFFFFFF"/>
      </font>
      <fill>
        <patternFill patternType="solid">
          <fgColor rgb="FFCC0000"/>
          <bgColor rgb="FFCC0000"/>
        </patternFill>
      </fill>
    </dxf>
    <dxf>
      <font>
        <strike/>
        <color rgb="FFFFFFFF"/>
      </font>
      <fill>
        <patternFill patternType="solid">
          <fgColor rgb="FFCC0000"/>
          <bgColor rgb="FFCC0000"/>
        </patternFill>
      </fill>
    </dxf>
    <dxf>
      <font>
        <strike/>
        <color rgb="FFFFFFFF"/>
      </font>
      <fill>
        <patternFill patternType="solid">
          <fgColor rgb="FFCC0000"/>
          <bgColor rgb="FFCC0000"/>
        </patternFill>
      </fill>
    </dxf>
    <dxf>
      <font>
        <strike/>
        <color rgb="FFFFFFFF"/>
      </font>
      <fill>
        <patternFill patternType="solid">
          <fgColor rgb="FFCC0000"/>
          <bgColor rgb="FFCC0000"/>
        </patternFill>
      </fill>
    </dxf>
    <dxf>
      <font>
        <color rgb="FF000000"/>
      </font>
      <fill>
        <patternFill patternType="solid">
          <fgColor rgb="FFA4C2F4"/>
          <bgColor rgb="FFA4C2F4"/>
        </patternFill>
      </fill>
    </dxf>
    <dxf>
      <font>
        <color rgb="FF000000"/>
      </font>
      <fill>
        <patternFill patternType="solid">
          <fgColor rgb="FFA2C4C9"/>
          <bgColor rgb="FFA2C4C9"/>
        </patternFill>
      </fill>
    </dxf>
    <dxf>
      <font>
        <b/>
        <color rgb="FFFF0000"/>
      </font>
      <fill>
        <patternFill patternType="solid">
          <fgColor rgb="FFEA9999"/>
          <bgColor rgb="FFEA9999"/>
        </patternFill>
      </fill>
    </dxf>
    <dxf>
      <font>
        <b/>
        <color rgb="FF34A853"/>
      </font>
      <fill>
        <patternFill patternType="solid">
          <fgColor rgb="FFB7E1CD"/>
          <bgColor rgb="FFB7E1CD"/>
        </patternFill>
      </fill>
    </dxf>
    <dxf>
      <font>
        <strike/>
        <color rgb="FFFFFFFF"/>
      </font>
      <fill>
        <patternFill patternType="solid">
          <fgColor rgb="FFCC0000"/>
          <bgColor rgb="FFCC0000"/>
        </patternFill>
      </fill>
    </dxf>
    <dxf>
      <font>
        <strike/>
        <color rgb="FFFFFFFF"/>
      </font>
      <fill>
        <patternFill patternType="solid">
          <fgColor rgb="FFCC0000"/>
          <bgColor rgb="FFCC0000"/>
        </patternFill>
      </fill>
    </dxf>
    <dxf>
      <font>
        <strike/>
        <color rgb="FFFFFFFF"/>
      </font>
      <fill>
        <patternFill patternType="solid">
          <fgColor rgb="FFCC0000"/>
          <bgColor rgb="FFCC0000"/>
        </patternFill>
      </fill>
    </dxf>
    <dxf>
      <font>
        <strike/>
        <color rgb="FFFFFFFF"/>
      </font>
      <fill>
        <patternFill patternType="solid">
          <fgColor rgb="FFCC0000"/>
          <bgColor rgb="FFCC0000"/>
        </patternFill>
      </fill>
    </dxf>
    <dxf>
      <font>
        <color rgb="FF000000"/>
      </font>
      <fill>
        <patternFill patternType="solid">
          <fgColor rgb="FFA4C2F4"/>
          <bgColor rgb="FFA4C2F4"/>
        </patternFill>
      </fill>
    </dxf>
    <dxf>
      <font>
        <color rgb="FF000000"/>
      </font>
      <fill>
        <patternFill patternType="solid">
          <fgColor rgb="FFA2C4C9"/>
          <bgColor rgb="FFA2C4C9"/>
        </patternFill>
      </fill>
    </dxf>
    <dxf>
      <font>
        <b/>
        <color rgb="FFFF0000"/>
      </font>
      <fill>
        <patternFill patternType="solid">
          <fgColor rgb="FFEA9999"/>
          <bgColor rgb="FFEA9999"/>
        </patternFill>
      </fill>
    </dxf>
    <dxf>
      <font>
        <b/>
        <color rgb="FF34A853"/>
      </font>
      <fill>
        <patternFill patternType="solid">
          <fgColor rgb="FFB7E1CD"/>
          <bgColor rgb="FFB7E1CD"/>
        </patternFill>
      </fill>
    </dxf>
    <dxf>
      <font>
        <strike/>
        <color rgb="FFFFFFFF"/>
      </font>
      <fill>
        <patternFill patternType="solid">
          <fgColor rgb="FFCC0000"/>
          <bgColor rgb="FFCC0000"/>
        </patternFill>
      </fill>
    </dxf>
    <dxf>
      <font>
        <color rgb="FF000000"/>
      </font>
      <fill>
        <patternFill patternType="solid">
          <fgColor rgb="FFA4C2F4"/>
          <bgColor rgb="FFA4C2F4"/>
        </patternFill>
      </fill>
    </dxf>
    <dxf>
      <font>
        <color rgb="FF000000"/>
      </font>
      <fill>
        <patternFill patternType="solid">
          <fgColor rgb="FFA2C4C9"/>
          <bgColor rgb="FFA2C4C9"/>
        </patternFill>
      </fill>
    </dxf>
    <dxf>
      <font>
        <b/>
        <color rgb="FFFF0000"/>
      </font>
      <fill>
        <patternFill patternType="solid">
          <fgColor rgb="FFEA9999"/>
          <bgColor rgb="FFEA9999"/>
        </patternFill>
      </fill>
    </dxf>
    <dxf>
      <font>
        <b/>
        <color rgb="FF34A853"/>
      </font>
      <fill>
        <patternFill patternType="solid">
          <fgColor rgb="FFB7E1CD"/>
          <bgColor rgb="FFB7E1CD"/>
        </patternFill>
      </fill>
    </dxf>
    <dxf>
      <font>
        <strike/>
        <color rgb="FFFFFFFF"/>
      </font>
      <fill>
        <patternFill patternType="solid">
          <fgColor rgb="FFCC0000"/>
          <bgColor rgb="FFCC0000"/>
        </patternFill>
      </fill>
    </dxf>
    <dxf>
      <font>
        <strike/>
        <color rgb="FFFFFFFF"/>
      </font>
      <fill>
        <patternFill patternType="solid">
          <fgColor rgb="FFCC0000"/>
          <bgColor rgb="FFCC0000"/>
        </patternFill>
      </fill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3D297"/>
          <bgColor rgb="FF63D297"/>
        </patternFill>
      </fill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3D297"/>
          <bgColor rgb="FF63D297"/>
        </patternFill>
      </fill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3D297"/>
          <bgColor rgb="FF63D297"/>
        </patternFill>
      </fill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3D297"/>
          <bgColor rgb="FF63D297"/>
        </patternFill>
      </fill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3D297"/>
          <bgColor rgb="FF63D297"/>
        </patternFill>
      </fill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3D297"/>
          <bgColor rgb="FF63D297"/>
        </patternFill>
      </fill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3D297"/>
          <bgColor rgb="FF63D297"/>
        </patternFill>
      </fill>
    </dxf>
  </dxfs>
  <tableStyles count="7">
    <tableStyle name="Lists-style" pivot="0" count="3" xr9:uid="{00000000-0011-0000-FFFF-FFFF00000000}">
      <tableStyleElement type="headerRow" dxfId="125"/>
      <tableStyleElement type="firstRowStripe" dxfId="124"/>
      <tableStyleElement type="secondRowStripe" dxfId="123"/>
    </tableStyle>
    <tableStyle name="Lists-style 2" pivot="0" count="3" xr9:uid="{00000000-0011-0000-FFFF-FFFF01000000}">
      <tableStyleElement type="headerRow" dxfId="122"/>
      <tableStyleElement type="firstRowStripe" dxfId="121"/>
      <tableStyleElement type="secondRowStripe" dxfId="120"/>
    </tableStyle>
    <tableStyle name="Lists-style 3" pivot="0" count="3" xr9:uid="{00000000-0011-0000-FFFF-FFFF02000000}">
      <tableStyleElement type="headerRow" dxfId="119"/>
      <tableStyleElement type="firstRowStripe" dxfId="118"/>
      <tableStyleElement type="secondRowStripe" dxfId="117"/>
    </tableStyle>
    <tableStyle name="Lists-style 4" pivot="0" count="3" xr9:uid="{00000000-0011-0000-FFFF-FFFF03000000}">
      <tableStyleElement type="headerRow" dxfId="116"/>
      <tableStyleElement type="firstRowStripe" dxfId="115"/>
      <tableStyleElement type="secondRowStripe" dxfId="114"/>
    </tableStyle>
    <tableStyle name="Lists-style 5" pivot="0" count="3" xr9:uid="{00000000-0011-0000-FFFF-FFFF04000000}">
      <tableStyleElement type="headerRow" dxfId="113"/>
      <tableStyleElement type="firstRowStripe" dxfId="112"/>
      <tableStyleElement type="secondRowStripe" dxfId="111"/>
    </tableStyle>
    <tableStyle name="Lists-style 6" pivot="0" count="3" xr9:uid="{00000000-0011-0000-FFFF-FFFF05000000}">
      <tableStyleElement type="headerRow" dxfId="110"/>
      <tableStyleElement type="firstRowStripe" dxfId="109"/>
      <tableStyleElement type="secondRowStripe" dxfId="108"/>
    </tableStyle>
    <tableStyle name="Lists-style 7" pivot="0" count="3" xr9:uid="{00000000-0011-0000-FFFF-FFFF06000000}">
      <tableStyleElement type="headerRow" dxfId="107"/>
      <tableStyleElement type="firstRowStripe" dxfId="106"/>
      <tableStyleElement type="secondRowStripe" dxfId="105"/>
    </tableStyle>
  </tableStyles>
  <colors>
    <mruColors>
      <color rgb="FFD9D2E9"/>
      <color rgb="FFE36BD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microsoft.com/office/2017/06/relationships/rdRichValue" Target="richData/rdrichvalue.xml"/><Relationship Id="rId3" Type="http://schemas.openxmlformats.org/officeDocument/2006/relationships/worksheet" Target="worksheets/sheet3.xml"/><Relationship Id="rId21" Type="http://schemas.openxmlformats.org/officeDocument/2006/relationships/connections" Target="connection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22/10/relationships/richValueRel" Target="richData/richValueRel.xml"/><Relationship Id="rId33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3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28" Type="http://schemas.microsoft.com/office/2017/06/relationships/rdRichValueTypes" Target="richData/rdRichValueTypes.xml"/><Relationship Id="rId10" Type="http://schemas.openxmlformats.org/officeDocument/2006/relationships/worksheet" Target="worksheets/sheet10.xml"/><Relationship Id="rId19" Type="http://customschemas.google.com/relationships/workbookmetadata" Target="metadata"/><Relationship Id="rId3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microsoft.com/office/2017/06/relationships/rdRichValueStructure" Target="richData/rdrichvaluestructure.xml"/><Relationship Id="rId30" Type="http://schemas.openxmlformats.org/officeDocument/2006/relationships/customXml" Target="../customXml/item1.xml"/><Relationship Id="rId8" Type="http://schemas.openxmlformats.org/officeDocument/2006/relationships/worksheet" Target="worksheets/sheet8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0</v>
    <v>4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7">
  <tableColumns count="1">
    <tableColumn id="1" xr3:uid="{00000000-0010-0000-0000-000001000000}" name="Sources"/>
  </tableColumns>
  <tableStyleInfo name="List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9:A13">
  <tableColumns count="1">
    <tableColumn id="1" xr3:uid="{00000000-0010-0000-0100-000001000000}" name="Categories"/>
  </tableColumns>
  <tableStyleInfo name="Lists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5:A18">
  <tableColumns count="1">
    <tableColumn id="1" xr3:uid="{00000000-0010-0000-0200-000001000000}" name="Versions"/>
  </tableColumns>
  <tableStyleInfo name="Lists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20:A25">
  <tableColumns count="1">
    <tableColumn id="1" xr3:uid="{00000000-0010-0000-0300-000001000000}" name="STT Statuses"/>
  </tableColumns>
  <tableStyleInfo name="Lists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A27:A31">
  <tableColumns count="1">
    <tableColumn id="1" xr3:uid="{00000000-0010-0000-0400-000001000000}" name="ETL Statuses"/>
  </tableColumns>
  <tableStyleInfo name="Lists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A33:A36">
  <tableColumns count="1">
    <tableColumn id="1" xr3:uid="{00000000-0010-0000-0500-000001000000}" name="Statuses"/>
  </tableColumns>
  <tableStyleInfo name="Lists-style 6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A38:C49" headerRowCount="0">
  <tableColumns count="3">
    <tableColumn id="1" xr3:uid="{00000000-0010-0000-0600-000001000000}" name="Column1"/>
    <tableColumn id="2" xr3:uid="{00000000-0010-0000-0600-000002000000}" name="Column2"/>
    <tableColumn id="3" xr3:uid="{00000000-0010-0000-0600-000003000000}" name="Column3"/>
  </tableColumns>
  <tableStyleInfo name="Lists-style 7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DC86D-A84C-4259-854A-BBEE0DD7340A}">
  <sheetPr>
    <tabColor theme="4" tint="0.59999389629810485"/>
    <outlinePr summaryBelow="0" summaryRight="0"/>
  </sheetPr>
  <dimension ref="A1:R164"/>
  <sheetViews>
    <sheetView zoomScaleNormal="100" workbookViewId="0">
      <pane xSplit="1" ySplit="8" topLeftCell="B17" activePane="bottomRight" state="frozen"/>
      <selection pane="bottomRight" activeCell="G34" sqref="G34"/>
      <selection pane="bottomLeft" activeCell="A9" sqref="A9"/>
      <selection pane="topRight" activeCell="B1" sqref="B1"/>
    </sheetView>
  </sheetViews>
  <sheetFormatPr defaultColWidth="12.7109375" defaultRowHeight="15" customHeight="1" outlineLevelRow="1" outlineLevelCol="1"/>
  <cols>
    <col min="1" max="1" width="39.140625" style="18" customWidth="1"/>
    <col min="2" max="2" width="11.85546875" style="18" customWidth="1" outlineLevel="1"/>
    <col min="3" max="3" width="7" style="18" customWidth="1" outlineLevel="1"/>
    <col min="4" max="4" width="28" style="18" customWidth="1" outlineLevel="1"/>
    <col min="5" max="5" width="2.28515625" style="21" customWidth="1"/>
    <col min="6" max="6" width="12.7109375" style="44" customWidth="1" outlineLevel="1"/>
    <col min="7" max="7" width="43.7109375" style="27" customWidth="1" outlineLevel="1"/>
    <col min="8" max="8" width="30.7109375" style="18" customWidth="1" outlineLevel="1"/>
    <col min="9" max="9" width="33.140625" style="18" customWidth="1" outlineLevel="1"/>
    <col min="10" max="10" width="5.85546875" hidden="1" customWidth="1" outlineLevel="1"/>
    <col min="11" max="11" width="5" hidden="1" customWidth="1" outlineLevel="1"/>
    <col min="12" max="12" width="11.7109375" hidden="1" customWidth="1" outlineLevel="1"/>
    <col min="13" max="13" width="2.28515625" customWidth="1"/>
    <col min="14" max="14" width="2.28515625" customWidth="1" collapsed="1"/>
    <col min="15" max="15" width="10.7109375" hidden="1" customWidth="1" outlineLevel="1"/>
    <col min="16" max="16" width="11" hidden="1" customWidth="1" outlineLevel="1"/>
    <col min="17" max="18" width="47.7109375" customWidth="1"/>
  </cols>
  <sheetData>
    <row r="1" spans="1:18" ht="5.25" customHeight="1" outlineLevel="1">
      <c r="A1" s="28"/>
      <c r="B1" s="109"/>
      <c r="C1" s="106"/>
      <c r="D1" s="106"/>
      <c r="E1" s="110"/>
      <c r="F1" s="106"/>
      <c r="G1" s="106"/>
      <c r="H1" s="106"/>
      <c r="I1" s="106"/>
      <c r="J1" s="2"/>
      <c r="K1" s="2"/>
      <c r="L1" s="2"/>
      <c r="M1" s="2"/>
      <c r="N1" s="111"/>
      <c r="O1" s="124"/>
      <c r="P1" s="124"/>
    </row>
    <row r="2" spans="1:18" ht="15.75" customHeight="1" outlineLevel="1">
      <c r="A2" s="29" t="s">
        <v>0</v>
      </c>
      <c r="B2" s="29" t="s">
        <v>1</v>
      </c>
      <c r="C2" s="30"/>
      <c r="D2" s="31" t="s">
        <v>2</v>
      </c>
      <c r="E2" s="112" t="s">
        <v>3</v>
      </c>
      <c r="F2" s="115" t="s">
        <v>4</v>
      </c>
      <c r="G2" s="116"/>
      <c r="H2" s="19" t="s">
        <v>5</v>
      </c>
      <c r="I2" s="20"/>
      <c r="J2" s="117"/>
      <c r="K2" s="125"/>
      <c r="L2" s="126"/>
      <c r="M2" s="118" t="s">
        <v>6</v>
      </c>
      <c r="N2" s="119" t="s">
        <v>7</v>
      </c>
      <c r="O2" s="120"/>
      <c r="P2" s="126"/>
      <c r="Q2" s="127" t="s">
        <v>8</v>
      </c>
      <c r="R2" s="128" t="s">
        <v>9</v>
      </c>
    </row>
    <row r="3" spans="1:18" ht="15.75" customHeight="1" outlineLevel="1">
      <c r="A3" s="29" t="s">
        <v>10</v>
      </c>
      <c r="B3" s="29"/>
      <c r="C3" s="108"/>
      <c r="D3" s="121" t="s">
        <v>11</v>
      </c>
      <c r="E3" s="113"/>
      <c r="F3" s="103" t="s">
        <v>12</v>
      </c>
      <c r="G3" s="104"/>
      <c r="H3" s="19" t="s">
        <v>13</v>
      </c>
      <c r="I3" s="20"/>
      <c r="J3" s="129"/>
      <c r="K3" s="128"/>
      <c r="L3" s="130"/>
      <c r="M3" s="131"/>
      <c r="N3" s="131"/>
      <c r="O3" s="129"/>
      <c r="P3" s="130"/>
      <c r="Q3" s="127"/>
      <c r="R3" s="128"/>
    </row>
    <row r="4" spans="1:18" ht="15.75" customHeight="1" outlineLevel="1">
      <c r="A4" s="29" t="s">
        <v>14</v>
      </c>
      <c r="B4" s="29"/>
      <c r="C4" s="108"/>
      <c r="D4" s="113"/>
      <c r="E4" s="113"/>
      <c r="F4" s="115" t="s">
        <v>15</v>
      </c>
      <c r="G4" s="116"/>
      <c r="H4" s="19" t="s">
        <v>16</v>
      </c>
      <c r="I4" s="20"/>
      <c r="J4" s="129"/>
      <c r="K4" s="128"/>
      <c r="L4" s="130"/>
      <c r="M4" s="131"/>
      <c r="N4" s="131"/>
      <c r="O4" s="129"/>
      <c r="P4" s="130"/>
      <c r="Q4" s="127"/>
      <c r="R4" s="128"/>
    </row>
    <row r="5" spans="1:18" ht="15.75" customHeight="1" outlineLevel="1">
      <c r="A5" s="29" t="s">
        <v>17</v>
      </c>
      <c r="B5" s="29"/>
      <c r="C5" s="108"/>
      <c r="D5" s="114"/>
      <c r="E5" s="113"/>
      <c r="F5" s="103" t="s">
        <v>18</v>
      </c>
      <c r="G5" s="104"/>
      <c r="H5" s="19" t="s">
        <v>19</v>
      </c>
      <c r="I5" s="20"/>
      <c r="J5" s="129"/>
      <c r="K5" s="128"/>
      <c r="L5" s="130"/>
      <c r="M5" s="131"/>
      <c r="N5" s="131"/>
      <c r="O5" s="129"/>
      <c r="P5" s="130"/>
      <c r="Q5" s="132"/>
      <c r="R5" s="133"/>
    </row>
    <row r="6" spans="1:18" ht="15.75" customHeight="1" outlineLevel="1">
      <c r="A6" s="21"/>
      <c r="B6" s="21"/>
      <c r="C6" s="32" t="e" vm="1">
        <v>#VALUE!</v>
      </c>
      <c r="D6" s="21"/>
      <c r="E6" s="114"/>
      <c r="F6" s="108"/>
      <c r="G6" s="108"/>
      <c r="H6" s="108"/>
      <c r="I6" s="108"/>
      <c r="J6" s="134"/>
      <c r="K6" s="135"/>
      <c r="L6" s="136"/>
      <c r="M6" s="137"/>
      <c r="N6" s="137"/>
      <c r="O6" s="134"/>
      <c r="P6" s="136"/>
      <c r="Q6" s="10" t="s">
        <v>20</v>
      </c>
      <c r="R6" s="10" t="s">
        <v>20</v>
      </c>
    </row>
    <row r="7" spans="1:18" ht="15.75" customHeight="1">
      <c r="A7" s="33" t="s">
        <v>21</v>
      </c>
      <c r="B7" s="98" t="s">
        <v>21</v>
      </c>
      <c r="C7" s="99"/>
      <c r="D7" s="99"/>
      <c r="E7" s="100" t="s">
        <v>22</v>
      </c>
      <c r="F7" s="99"/>
      <c r="G7" s="99"/>
      <c r="H7" s="99"/>
      <c r="I7" s="101"/>
      <c r="J7" s="138"/>
      <c r="K7" s="138"/>
      <c r="L7" s="139"/>
      <c r="M7" s="53" t="s">
        <v>23</v>
      </c>
      <c r="N7" s="102" t="s">
        <v>24</v>
      </c>
      <c r="O7" s="138"/>
      <c r="P7" s="139"/>
      <c r="Q7" s="62" t="s">
        <v>25</v>
      </c>
      <c r="R7" s="11"/>
    </row>
    <row r="8" spans="1:18" ht="15.75" customHeight="1">
      <c r="A8" s="34" t="s">
        <v>26</v>
      </c>
      <c r="B8" s="34" t="s">
        <v>27</v>
      </c>
      <c r="C8" s="34" t="s">
        <v>28</v>
      </c>
      <c r="D8" s="35" t="s">
        <v>29</v>
      </c>
      <c r="E8" s="94" t="s">
        <v>30</v>
      </c>
      <c r="F8" s="101"/>
      <c r="G8" s="17" t="s">
        <v>31</v>
      </c>
      <c r="H8" s="22" t="s">
        <v>32</v>
      </c>
      <c r="I8" s="23" t="s">
        <v>33</v>
      </c>
      <c r="J8" s="50"/>
      <c r="K8" s="12" t="s">
        <v>31</v>
      </c>
      <c r="L8" s="12" t="s">
        <v>26</v>
      </c>
      <c r="M8" s="52" t="s">
        <v>34</v>
      </c>
      <c r="N8" s="140" t="s">
        <v>35</v>
      </c>
      <c r="O8" s="139"/>
      <c r="P8" s="13" t="s">
        <v>36</v>
      </c>
      <c r="Q8" s="14" t="str">
        <f>"("</f>
        <v>(</v>
      </c>
      <c r="R8" s="14" t="str">
        <f>"("</f>
        <v>(</v>
      </c>
    </row>
    <row r="9" spans="1:18" ht="15.75" customHeight="1" outlineLevel="1">
      <c r="A9" s="70" t="s">
        <v>37</v>
      </c>
      <c r="B9" s="34" t="s">
        <v>38</v>
      </c>
      <c r="C9" s="36"/>
      <c r="D9" s="16" t="s">
        <v>39</v>
      </c>
      <c r="E9" s="94" t="s">
        <v>40</v>
      </c>
      <c r="F9" s="95"/>
      <c r="G9" s="17" t="s">
        <v>41</v>
      </c>
      <c r="H9" s="17" t="s">
        <v>37</v>
      </c>
      <c r="I9" s="23"/>
      <c r="J9" s="41"/>
      <c r="K9" s="12"/>
      <c r="L9" s="12"/>
      <c r="M9" s="49"/>
      <c r="N9" s="140" t="s">
        <v>42</v>
      </c>
      <c r="O9" s="141"/>
      <c r="P9" s="13" t="s">
        <v>43</v>
      </c>
      <c r="Q9" s="14"/>
      <c r="R9" s="14"/>
    </row>
    <row r="10" spans="1:18" ht="15.75" customHeight="1" outlineLevel="1">
      <c r="A10" s="70" t="s">
        <v>44</v>
      </c>
      <c r="B10" s="34" t="s">
        <v>45</v>
      </c>
      <c r="C10" s="36"/>
      <c r="D10" s="16" t="s">
        <v>46</v>
      </c>
      <c r="E10" s="94" t="s">
        <v>40</v>
      </c>
      <c r="F10" s="95"/>
      <c r="G10" s="17" t="s">
        <v>41</v>
      </c>
      <c r="H10" s="17" t="s">
        <v>44</v>
      </c>
      <c r="I10" s="23"/>
      <c r="J10" s="41"/>
      <c r="K10" s="12"/>
      <c r="L10" s="12"/>
      <c r="M10" s="49"/>
      <c r="N10" s="140"/>
      <c r="O10" s="141"/>
      <c r="P10" s="13"/>
      <c r="Q10" s="14"/>
      <c r="R10" s="14"/>
    </row>
    <row r="11" spans="1:18" ht="15.75" customHeight="1" outlineLevel="1">
      <c r="A11" s="70" t="s">
        <v>47</v>
      </c>
      <c r="B11" s="34" t="s">
        <v>38</v>
      </c>
      <c r="C11" s="36"/>
      <c r="D11" s="16" t="s">
        <v>48</v>
      </c>
      <c r="E11" s="94" t="s">
        <v>40</v>
      </c>
      <c r="F11" s="95"/>
      <c r="G11" s="17" t="s">
        <v>41</v>
      </c>
      <c r="H11" s="17" t="s">
        <v>47</v>
      </c>
      <c r="I11" s="23"/>
      <c r="J11" s="41"/>
      <c r="K11" s="12"/>
      <c r="L11" s="12"/>
      <c r="M11" s="49"/>
      <c r="N11" s="140"/>
      <c r="O11" s="141"/>
      <c r="P11" s="13"/>
      <c r="Q11" s="14"/>
      <c r="R11" s="14"/>
    </row>
    <row r="12" spans="1:18" ht="15.75" customHeight="1" outlineLevel="1">
      <c r="A12" s="70" t="s">
        <v>49</v>
      </c>
      <c r="B12" s="34" t="s">
        <v>50</v>
      </c>
      <c r="C12" s="36"/>
      <c r="D12" s="16" t="s">
        <v>51</v>
      </c>
      <c r="E12" s="94" t="s">
        <v>40</v>
      </c>
      <c r="F12" s="95"/>
      <c r="G12" s="17" t="s">
        <v>41</v>
      </c>
      <c r="H12" s="17" t="s">
        <v>49</v>
      </c>
      <c r="I12" s="23"/>
      <c r="J12" s="41"/>
      <c r="K12" s="12"/>
      <c r="L12" s="12"/>
      <c r="M12" s="49"/>
      <c r="N12" s="42"/>
      <c r="O12" s="43"/>
      <c r="P12" s="13"/>
      <c r="Q12" s="14"/>
      <c r="R12" s="14"/>
    </row>
    <row r="13" spans="1:18" ht="15.75" customHeight="1" outlineLevel="1">
      <c r="A13" s="70" t="s">
        <v>52</v>
      </c>
      <c r="B13" s="34" t="s">
        <v>38</v>
      </c>
      <c r="C13" s="36"/>
      <c r="D13" s="34" t="s">
        <v>53</v>
      </c>
      <c r="E13" s="94" t="s">
        <v>40</v>
      </c>
      <c r="F13" s="95"/>
      <c r="G13" s="17" t="s">
        <v>41</v>
      </c>
      <c r="H13" s="22" t="s">
        <v>54</v>
      </c>
      <c r="I13" s="23"/>
      <c r="J13" s="41"/>
      <c r="K13" s="12"/>
      <c r="L13" s="12"/>
      <c r="M13" s="49"/>
      <c r="N13" s="42"/>
      <c r="O13" s="43"/>
      <c r="P13" s="13"/>
      <c r="Q13" s="14"/>
      <c r="R13" s="14"/>
    </row>
    <row r="14" spans="1:18" ht="15.75" customHeight="1" outlineLevel="1">
      <c r="A14" s="70" t="s">
        <v>55</v>
      </c>
      <c r="B14" s="34" t="s">
        <v>38</v>
      </c>
      <c r="C14" s="36"/>
      <c r="D14" s="16" t="s">
        <v>56</v>
      </c>
      <c r="E14" s="94" t="s">
        <v>40</v>
      </c>
      <c r="F14" s="95"/>
      <c r="G14" s="17" t="s">
        <v>41</v>
      </c>
      <c r="H14" s="17" t="s">
        <v>57</v>
      </c>
      <c r="I14" s="23"/>
      <c r="J14" s="41"/>
      <c r="K14" s="12"/>
      <c r="L14" s="12"/>
      <c r="M14" s="49"/>
      <c r="N14" s="42"/>
      <c r="O14" s="43"/>
      <c r="P14" s="13"/>
      <c r="Q14" s="14"/>
      <c r="R14" s="14"/>
    </row>
    <row r="15" spans="1:18" ht="15.75" customHeight="1" outlineLevel="1">
      <c r="A15" s="70" t="s">
        <v>58</v>
      </c>
      <c r="B15" s="34" t="s">
        <v>38</v>
      </c>
      <c r="C15" s="36"/>
      <c r="D15" s="16" t="s">
        <v>59</v>
      </c>
      <c r="E15" s="94" t="s">
        <v>40</v>
      </c>
      <c r="F15" s="95"/>
      <c r="G15" s="17" t="s">
        <v>60</v>
      </c>
      <c r="H15" s="17" t="s">
        <v>58</v>
      </c>
      <c r="I15" s="23"/>
      <c r="J15" s="41"/>
      <c r="K15" s="12"/>
      <c r="L15" s="12"/>
      <c r="M15" s="49"/>
      <c r="N15" s="42"/>
      <c r="O15" s="43"/>
      <c r="P15" s="13"/>
      <c r="Q15" s="14"/>
      <c r="R15" s="14"/>
    </row>
    <row r="16" spans="1:18" ht="15.75" customHeight="1" outlineLevel="1">
      <c r="A16" s="70" t="s">
        <v>61</v>
      </c>
      <c r="B16" s="34" t="s">
        <v>38</v>
      </c>
      <c r="C16" s="36"/>
      <c r="D16" s="16" t="s">
        <v>62</v>
      </c>
      <c r="E16" s="94" t="s">
        <v>40</v>
      </c>
      <c r="F16" s="95"/>
      <c r="G16" s="17" t="s">
        <v>60</v>
      </c>
      <c r="H16" s="23" t="s">
        <v>61</v>
      </c>
      <c r="I16" s="23"/>
      <c r="J16" s="41"/>
      <c r="K16" s="12"/>
      <c r="L16" s="12"/>
      <c r="M16" s="49"/>
      <c r="N16" s="42"/>
      <c r="O16" s="43"/>
      <c r="P16" s="13"/>
      <c r="Q16" s="14"/>
      <c r="R16" s="14"/>
    </row>
    <row r="17" spans="1:18" ht="15.75" customHeight="1" outlineLevel="1">
      <c r="A17" s="70" t="s">
        <v>63</v>
      </c>
      <c r="B17" s="55" t="s">
        <v>50</v>
      </c>
      <c r="C17" s="36"/>
      <c r="D17" s="16" t="s">
        <v>64</v>
      </c>
      <c r="E17" s="94" t="s">
        <v>40</v>
      </c>
      <c r="F17" s="95"/>
      <c r="G17" s="17" t="s">
        <v>41</v>
      </c>
      <c r="H17" s="17" t="s">
        <v>63</v>
      </c>
      <c r="I17" s="23"/>
      <c r="J17" s="41"/>
      <c r="K17" s="12"/>
      <c r="L17" s="12"/>
      <c r="M17" s="49"/>
      <c r="N17" s="42"/>
      <c r="O17" s="43"/>
      <c r="P17" s="13"/>
      <c r="Q17" s="14"/>
      <c r="R17" s="14"/>
    </row>
    <row r="18" spans="1:18" ht="15.75" customHeight="1" outlineLevel="1">
      <c r="A18" s="70" t="s">
        <v>65</v>
      </c>
      <c r="B18" s="34" t="s">
        <v>38</v>
      </c>
      <c r="C18" s="36"/>
      <c r="D18" s="16" t="s">
        <v>66</v>
      </c>
      <c r="E18" s="94" t="s">
        <v>40</v>
      </c>
      <c r="F18" s="95"/>
      <c r="G18" s="17" t="s">
        <v>41</v>
      </c>
      <c r="H18" s="17" t="s">
        <v>65</v>
      </c>
      <c r="I18" s="23"/>
      <c r="J18" s="41"/>
      <c r="K18" s="12"/>
      <c r="L18" s="12"/>
      <c r="M18" s="49"/>
      <c r="N18" s="42"/>
      <c r="O18" s="43"/>
      <c r="P18" s="13"/>
      <c r="Q18" s="14"/>
      <c r="R18" s="14"/>
    </row>
    <row r="19" spans="1:18" ht="15.75" customHeight="1" outlineLevel="1">
      <c r="A19" s="70" t="s">
        <v>67</v>
      </c>
      <c r="B19" s="55" t="s">
        <v>50</v>
      </c>
      <c r="C19" s="36"/>
      <c r="D19" s="16" t="s">
        <v>68</v>
      </c>
      <c r="E19" s="94" t="s">
        <v>40</v>
      </c>
      <c r="F19" s="95"/>
      <c r="G19" s="17" t="s">
        <v>41</v>
      </c>
      <c r="H19" s="17" t="s">
        <v>67</v>
      </c>
      <c r="I19" s="23"/>
      <c r="J19" s="41"/>
      <c r="K19" s="12"/>
      <c r="L19" s="12"/>
      <c r="M19" s="49"/>
      <c r="N19" s="42"/>
      <c r="O19" s="43"/>
      <c r="P19" s="13"/>
      <c r="Q19" s="14"/>
      <c r="R19" s="14"/>
    </row>
    <row r="20" spans="1:18" ht="15.75" customHeight="1" outlineLevel="1">
      <c r="A20" s="70" t="s">
        <v>69</v>
      </c>
      <c r="B20" s="34" t="s">
        <v>38</v>
      </c>
      <c r="C20" s="36"/>
      <c r="D20" s="34" t="s">
        <v>70</v>
      </c>
      <c r="E20" s="94" t="s">
        <v>40</v>
      </c>
      <c r="F20" s="95"/>
      <c r="G20" s="17" t="s">
        <v>41</v>
      </c>
      <c r="H20" s="17" t="s">
        <v>69</v>
      </c>
      <c r="I20" s="23"/>
      <c r="J20" s="41"/>
      <c r="K20" s="12"/>
      <c r="L20" s="12"/>
      <c r="M20" s="49"/>
      <c r="N20" s="42"/>
      <c r="O20" s="43"/>
      <c r="P20" s="13"/>
      <c r="Q20" s="14"/>
      <c r="R20" s="14"/>
    </row>
    <row r="21" spans="1:18" ht="15.75" customHeight="1" outlineLevel="1">
      <c r="A21" s="70" t="s">
        <v>71</v>
      </c>
      <c r="B21" s="34" t="s">
        <v>72</v>
      </c>
      <c r="C21" s="36"/>
      <c r="D21" s="34" t="s">
        <v>73</v>
      </c>
      <c r="E21" s="94" t="s">
        <v>40</v>
      </c>
      <c r="F21" s="95"/>
      <c r="G21" s="17" t="s">
        <v>74</v>
      </c>
      <c r="H21" s="17" t="s">
        <v>75</v>
      </c>
      <c r="I21" s="23"/>
      <c r="J21" s="41"/>
      <c r="K21" s="12"/>
      <c r="L21" s="12"/>
      <c r="M21" s="49"/>
      <c r="N21" s="42"/>
      <c r="O21" s="43"/>
      <c r="P21" s="13"/>
      <c r="Q21" s="14"/>
      <c r="R21" s="14"/>
    </row>
    <row r="22" spans="1:18" ht="15.75" customHeight="1" outlineLevel="1">
      <c r="A22" s="70" t="s">
        <v>76</v>
      </c>
      <c r="B22" s="34" t="s">
        <v>38</v>
      </c>
      <c r="C22" s="36"/>
      <c r="D22" s="34" t="s">
        <v>77</v>
      </c>
      <c r="E22" s="94" t="s">
        <v>40</v>
      </c>
      <c r="F22" s="95"/>
      <c r="G22" s="17" t="s">
        <v>74</v>
      </c>
      <c r="H22" s="17" t="s">
        <v>76</v>
      </c>
      <c r="I22" s="23"/>
      <c r="J22" s="41"/>
      <c r="K22" s="12"/>
      <c r="L22" s="12"/>
      <c r="M22" s="49"/>
      <c r="N22" s="42"/>
      <c r="O22" s="43"/>
      <c r="P22" s="13"/>
      <c r="Q22" s="14"/>
      <c r="R22" s="14"/>
    </row>
    <row r="23" spans="1:18" ht="15.75" customHeight="1" outlineLevel="1">
      <c r="A23" s="70" t="s">
        <v>78</v>
      </c>
      <c r="B23" s="34" t="s">
        <v>38</v>
      </c>
      <c r="C23" s="36" t="e" vm="1">
        <v>#VALUE!</v>
      </c>
      <c r="D23" s="16" t="s">
        <v>79</v>
      </c>
      <c r="E23" s="94" t="s">
        <v>40</v>
      </c>
      <c r="F23" s="95"/>
      <c r="G23" s="17" t="s">
        <v>74</v>
      </c>
      <c r="H23" s="17" t="s">
        <v>78</v>
      </c>
      <c r="I23" s="23"/>
      <c r="J23" s="41"/>
      <c r="K23" s="12"/>
      <c r="L23" s="12"/>
      <c r="M23" s="49"/>
      <c r="N23" s="42"/>
      <c r="O23" s="43"/>
      <c r="P23" s="13"/>
      <c r="Q23" s="14"/>
      <c r="R23" s="14"/>
    </row>
    <row r="24" spans="1:18" ht="15.75" customHeight="1" outlineLevel="1">
      <c r="A24" s="70" t="s">
        <v>80</v>
      </c>
      <c r="B24" s="34" t="s">
        <v>38</v>
      </c>
      <c r="C24" s="36"/>
      <c r="D24" s="34" t="s">
        <v>81</v>
      </c>
      <c r="E24" s="94" t="s">
        <v>40</v>
      </c>
      <c r="F24" s="95"/>
      <c r="G24" s="17" t="s">
        <v>74</v>
      </c>
      <c r="H24" s="22" t="s">
        <v>80</v>
      </c>
      <c r="I24" s="23"/>
      <c r="J24" s="41"/>
      <c r="K24" s="12"/>
      <c r="L24" s="12"/>
      <c r="M24" s="49"/>
      <c r="N24" s="42"/>
      <c r="O24" s="43"/>
      <c r="P24" s="13"/>
      <c r="Q24" s="14"/>
      <c r="R24" s="14"/>
    </row>
    <row r="25" spans="1:18" ht="15.75" customHeight="1" outlineLevel="1">
      <c r="A25" s="70" t="s">
        <v>82</v>
      </c>
      <c r="B25" s="34" t="s">
        <v>50</v>
      </c>
      <c r="C25" s="36"/>
      <c r="D25" s="34" t="s">
        <v>83</v>
      </c>
      <c r="E25" s="94" t="s">
        <v>40</v>
      </c>
      <c r="F25" s="95"/>
      <c r="G25" s="17" t="s">
        <v>74</v>
      </c>
      <c r="H25" s="22" t="s">
        <v>82</v>
      </c>
      <c r="I25" s="23"/>
      <c r="J25" s="41"/>
      <c r="K25" s="12"/>
      <c r="L25" s="12"/>
      <c r="M25" s="49"/>
      <c r="N25" s="42"/>
      <c r="O25" s="43"/>
      <c r="P25" s="13"/>
      <c r="Q25" s="14"/>
      <c r="R25" s="14"/>
    </row>
    <row r="26" spans="1:18" ht="15.75" customHeight="1" outlineLevel="1">
      <c r="A26" s="70" t="s">
        <v>84</v>
      </c>
      <c r="B26" s="34" t="s">
        <v>50</v>
      </c>
      <c r="C26" s="36" t="e" vm="1">
        <v>#VALUE!</v>
      </c>
      <c r="D26" s="34" t="s">
        <v>85</v>
      </c>
      <c r="E26" s="94" t="s">
        <v>40</v>
      </c>
      <c r="F26" s="95"/>
      <c r="G26" s="17" t="s">
        <v>86</v>
      </c>
      <c r="H26" s="23" t="s">
        <v>84</v>
      </c>
      <c r="I26" s="23"/>
      <c r="J26" s="41"/>
      <c r="K26" s="12"/>
      <c r="L26" s="12"/>
      <c r="M26" s="49"/>
      <c r="N26" s="140"/>
      <c r="O26" s="141"/>
      <c r="P26" s="13"/>
      <c r="Q26" s="14"/>
      <c r="R26" s="14"/>
    </row>
    <row r="27" spans="1:18" ht="15.75" customHeight="1" outlineLevel="1">
      <c r="A27" s="70" t="s">
        <v>87</v>
      </c>
      <c r="B27" s="34" t="s">
        <v>38</v>
      </c>
      <c r="C27" s="64"/>
      <c r="D27" s="63" t="s">
        <v>88</v>
      </c>
      <c r="E27" s="94" t="s">
        <v>40</v>
      </c>
      <c r="F27" s="95"/>
      <c r="G27" s="17" t="s">
        <v>86</v>
      </c>
      <c r="H27" s="23" t="s">
        <v>87</v>
      </c>
      <c r="I27" s="23"/>
      <c r="J27" s="41"/>
      <c r="K27" s="12"/>
      <c r="L27" s="12"/>
      <c r="M27" s="49"/>
      <c r="N27" s="42"/>
      <c r="O27" s="43"/>
      <c r="P27" s="13"/>
      <c r="Q27" s="14"/>
      <c r="R27" s="14"/>
    </row>
    <row r="28" spans="1:18" ht="15.75" customHeight="1" outlineLevel="1">
      <c r="A28" s="70" t="s">
        <v>89</v>
      </c>
      <c r="B28" s="34" t="s">
        <v>50</v>
      </c>
      <c r="C28" s="36"/>
      <c r="D28" s="65" t="s">
        <v>90</v>
      </c>
      <c r="E28" s="94" t="s">
        <v>40</v>
      </c>
      <c r="F28" s="95"/>
      <c r="G28" s="17" t="s">
        <v>91</v>
      </c>
      <c r="H28" s="23" t="s">
        <v>89</v>
      </c>
      <c r="I28" s="23"/>
      <c r="J28" s="41"/>
      <c r="K28" s="12"/>
      <c r="L28" s="12"/>
      <c r="M28" s="49"/>
      <c r="N28" s="42"/>
      <c r="O28" s="43"/>
      <c r="P28" s="13"/>
      <c r="Q28" s="14"/>
      <c r="R28" s="14"/>
    </row>
    <row r="29" spans="1:18" ht="15.75" customHeight="1" outlineLevel="1">
      <c r="A29" s="70" t="s">
        <v>92</v>
      </c>
      <c r="B29" s="63" t="s">
        <v>38</v>
      </c>
      <c r="C29" s="57"/>
      <c r="D29" s="67" t="s">
        <v>93</v>
      </c>
      <c r="E29" s="94" t="s">
        <v>40</v>
      </c>
      <c r="F29" s="95"/>
      <c r="G29" s="17" t="s">
        <v>91</v>
      </c>
      <c r="H29" s="60" t="s">
        <v>92</v>
      </c>
      <c r="I29" s="23"/>
      <c r="J29" s="41"/>
      <c r="K29" s="12"/>
      <c r="L29" s="12"/>
      <c r="M29" s="49"/>
      <c r="N29" s="140"/>
      <c r="O29" s="141"/>
      <c r="P29" s="13"/>
      <c r="Q29" s="14"/>
      <c r="R29" s="14"/>
    </row>
    <row r="30" spans="1:18" ht="15.75" customHeight="1" outlineLevel="1">
      <c r="A30" s="66" t="s">
        <v>94</v>
      </c>
      <c r="B30" s="63" t="s">
        <v>50</v>
      </c>
      <c r="C30" s="36" t="e" vm="1">
        <v>#VALUE!</v>
      </c>
      <c r="D30" s="63" t="s">
        <v>95</v>
      </c>
      <c r="E30" s="94" t="s">
        <v>40</v>
      </c>
      <c r="F30" s="95"/>
      <c r="G30" s="17" t="s">
        <v>96</v>
      </c>
      <c r="H30" s="23" t="s">
        <v>94</v>
      </c>
      <c r="I30" s="23"/>
      <c r="J30" s="41"/>
      <c r="K30" s="12"/>
      <c r="L30" s="12"/>
      <c r="M30" s="49"/>
      <c r="N30" s="42"/>
      <c r="O30" s="43"/>
      <c r="P30" s="13"/>
      <c r="Q30" s="14"/>
      <c r="R30" s="14"/>
    </row>
    <row r="31" spans="1:18" ht="15.75" customHeight="1" outlineLevel="1">
      <c r="A31" s="66" t="s">
        <v>97</v>
      </c>
      <c r="B31" s="63" t="s">
        <v>38</v>
      </c>
      <c r="C31" s="64"/>
      <c r="D31" s="63" t="s">
        <v>98</v>
      </c>
      <c r="E31" s="94" t="s">
        <v>40</v>
      </c>
      <c r="F31" s="95"/>
      <c r="G31" s="17" t="s">
        <v>96</v>
      </c>
      <c r="H31" s="23" t="s">
        <v>97</v>
      </c>
      <c r="I31" s="23"/>
      <c r="J31" s="41"/>
      <c r="K31" s="12"/>
      <c r="L31" s="12"/>
      <c r="M31" s="49"/>
      <c r="N31" s="42"/>
      <c r="O31" s="43"/>
      <c r="P31" s="13"/>
      <c r="Q31" s="14"/>
      <c r="R31" s="14"/>
    </row>
    <row r="32" spans="1:18" ht="15.75" customHeight="1" outlineLevel="1">
      <c r="A32" s="66" t="s">
        <v>99</v>
      </c>
      <c r="B32" s="34" t="s">
        <v>50</v>
      </c>
      <c r="C32" s="36" t="e" vm="1">
        <v>#VALUE!</v>
      </c>
      <c r="D32" s="34" t="s">
        <v>100</v>
      </c>
      <c r="E32" s="94" t="s">
        <v>40</v>
      </c>
      <c r="F32" s="95"/>
      <c r="G32" s="17" t="s">
        <v>101</v>
      </c>
      <c r="H32" s="23" t="s">
        <v>99</v>
      </c>
      <c r="I32" s="23"/>
      <c r="J32" s="41"/>
      <c r="K32" s="12"/>
      <c r="L32" s="12"/>
      <c r="M32" s="49"/>
      <c r="N32" s="42"/>
      <c r="O32" s="43"/>
      <c r="P32" s="13"/>
      <c r="Q32" s="14"/>
      <c r="R32" s="14"/>
    </row>
    <row r="33" spans="1:18" ht="15.75" customHeight="1" outlineLevel="1">
      <c r="A33" s="66" t="s">
        <v>102</v>
      </c>
      <c r="B33" s="34" t="s">
        <v>38</v>
      </c>
      <c r="C33" s="36"/>
      <c r="D33" s="34" t="s">
        <v>103</v>
      </c>
      <c r="E33" s="94" t="s">
        <v>40</v>
      </c>
      <c r="F33" s="95"/>
      <c r="G33" s="17" t="s">
        <v>101</v>
      </c>
      <c r="H33" s="23" t="s">
        <v>102</v>
      </c>
      <c r="I33" s="23"/>
      <c r="J33" s="41"/>
      <c r="K33" s="12"/>
      <c r="L33" s="12"/>
      <c r="M33" s="49"/>
      <c r="N33" s="42"/>
      <c r="O33" s="43"/>
      <c r="P33" s="13"/>
      <c r="Q33" s="14"/>
      <c r="R33" s="14"/>
    </row>
    <row r="34" spans="1:18" ht="15.75" customHeight="1" outlineLevel="1">
      <c r="A34" s="66" t="s">
        <v>104</v>
      </c>
      <c r="B34" s="34" t="s">
        <v>50</v>
      </c>
      <c r="C34" s="36" t="e" vm="1">
        <v>#VALUE!</v>
      </c>
      <c r="D34" s="34" t="s">
        <v>105</v>
      </c>
      <c r="E34" s="94" t="s">
        <v>40</v>
      </c>
      <c r="F34" s="95"/>
      <c r="G34" s="17" t="s">
        <v>106</v>
      </c>
      <c r="H34" s="23" t="s">
        <v>104</v>
      </c>
      <c r="I34" s="23"/>
      <c r="J34" s="41"/>
      <c r="K34" s="12"/>
      <c r="L34" s="12"/>
      <c r="M34" s="49"/>
      <c r="N34" s="42"/>
      <c r="O34" s="43"/>
      <c r="P34" s="13"/>
      <c r="Q34" s="14"/>
      <c r="R34" s="14"/>
    </row>
    <row r="35" spans="1:18" ht="15.75" customHeight="1" outlineLevel="1">
      <c r="A35" s="66" t="s">
        <v>107</v>
      </c>
      <c r="B35" s="34" t="s">
        <v>38</v>
      </c>
      <c r="C35" s="36"/>
      <c r="D35" s="34" t="s">
        <v>108</v>
      </c>
      <c r="E35" s="94" t="s">
        <v>40</v>
      </c>
      <c r="F35" s="95"/>
      <c r="G35" s="17" t="s">
        <v>106</v>
      </c>
      <c r="H35" s="23" t="s">
        <v>107</v>
      </c>
      <c r="I35" s="23"/>
      <c r="J35" s="41"/>
      <c r="K35" s="12"/>
      <c r="L35" s="12"/>
      <c r="M35" s="49"/>
      <c r="N35" s="42"/>
      <c r="O35" s="43"/>
      <c r="P35" s="13"/>
      <c r="Q35" s="14"/>
      <c r="R35" s="14"/>
    </row>
    <row r="36" spans="1:18" ht="15.75" customHeight="1" outlineLevel="1">
      <c r="A36" s="37"/>
      <c r="B36" s="34"/>
      <c r="C36" s="36"/>
      <c r="D36" s="34"/>
      <c r="E36" s="94"/>
      <c r="F36" s="95"/>
      <c r="G36" s="17"/>
      <c r="H36" s="22"/>
      <c r="I36" s="23"/>
      <c r="J36" s="41"/>
      <c r="K36" s="12"/>
      <c r="L36" s="12"/>
      <c r="M36" s="45"/>
      <c r="N36" s="140"/>
      <c r="O36" s="141"/>
      <c r="P36" s="13"/>
      <c r="Q36" s="14"/>
      <c r="R36" s="14"/>
    </row>
    <row r="37" spans="1:18" ht="15.75" customHeight="1" outlineLevel="1">
      <c r="A37" s="38" t="s">
        <v>109</v>
      </c>
      <c r="B37" s="39"/>
      <c r="C37" s="40"/>
      <c r="D37" s="9"/>
      <c r="E37" s="94"/>
      <c r="F37" s="95"/>
      <c r="G37" s="17"/>
      <c r="H37" s="25"/>
      <c r="I37" s="24"/>
      <c r="J37" s="51"/>
      <c r="K37" s="3"/>
      <c r="L37" s="3"/>
      <c r="M37" s="49"/>
      <c r="N37" s="142"/>
      <c r="O37" s="143"/>
      <c r="P37" s="4"/>
      <c r="Q37" s="14"/>
      <c r="R37" s="14"/>
    </row>
    <row r="38" spans="1:18" ht="15.75" customHeight="1">
      <c r="E38" s="107"/>
      <c r="F38" s="108"/>
      <c r="G38" s="105"/>
      <c r="H38" s="106"/>
      <c r="I38" s="26"/>
      <c r="N38" s="124"/>
      <c r="O38" s="124"/>
    </row>
    <row r="39" spans="1:18" ht="15.75" customHeight="1"/>
    <row r="40" spans="1:18" ht="15.75" customHeight="1"/>
    <row r="41" spans="1:18" ht="15.75" customHeight="1"/>
    <row r="42" spans="1:18" ht="15.75" customHeight="1"/>
    <row r="43" spans="1:18" ht="15.75" customHeight="1"/>
    <row r="44" spans="1:18" ht="15.75" customHeight="1"/>
    <row r="45" spans="1:18" ht="15.75" customHeight="1"/>
    <row r="46" spans="1:18" ht="15.75" customHeight="1"/>
    <row r="47" spans="1:18" ht="15.75" customHeight="1"/>
    <row r="48" spans="1:18" ht="15.75" customHeight="1"/>
    <row r="49" spans="5:18" ht="15.75" customHeight="1"/>
    <row r="50" spans="5:18" s="18" customFormat="1" ht="15.75" customHeight="1">
      <c r="E50" s="21"/>
      <c r="F50" s="44"/>
      <c r="G50" s="27"/>
      <c r="J50"/>
      <c r="K50"/>
      <c r="L50"/>
      <c r="M50"/>
      <c r="N50"/>
      <c r="O50"/>
      <c r="P50"/>
      <c r="Q50"/>
      <c r="R50"/>
    </row>
    <row r="51" spans="5:18" s="18" customFormat="1" ht="15.75" customHeight="1">
      <c r="E51" s="21"/>
      <c r="F51" s="44"/>
      <c r="G51" s="27"/>
      <c r="J51"/>
      <c r="K51"/>
      <c r="L51"/>
      <c r="M51"/>
      <c r="N51"/>
      <c r="O51"/>
      <c r="P51"/>
      <c r="Q51"/>
      <c r="R51"/>
    </row>
    <row r="52" spans="5:18" s="18" customFormat="1" ht="15.75" customHeight="1">
      <c r="E52" s="21"/>
      <c r="F52" s="44"/>
      <c r="G52" s="27"/>
      <c r="J52"/>
      <c r="K52"/>
      <c r="L52"/>
      <c r="M52"/>
      <c r="N52"/>
      <c r="O52"/>
      <c r="P52"/>
      <c r="Q52"/>
      <c r="R52"/>
    </row>
    <row r="53" spans="5:18" s="18" customFormat="1" ht="15.75" customHeight="1">
      <c r="E53" s="21"/>
      <c r="F53" s="44"/>
      <c r="G53" s="27"/>
      <c r="J53"/>
      <c r="K53"/>
      <c r="L53"/>
      <c r="M53"/>
      <c r="N53"/>
      <c r="O53"/>
      <c r="P53"/>
      <c r="Q53"/>
      <c r="R53"/>
    </row>
    <row r="54" spans="5:18" s="18" customFormat="1" ht="15.75" customHeight="1">
      <c r="E54" s="21"/>
      <c r="F54" s="44"/>
      <c r="G54" s="27"/>
      <c r="J54"/>
      <c r="K54"/>
      <c r="L54"/>
      <c r="M54"/>
      <c r="N54"/>
      <c r="O54"/>
      <c r="P54"/>
      <c r="Q54"/>
      <c r="R54"/>
    </row>
    <row r="55" spans="5:18" s="18" customFormat="1" ht="15.75" customHeight="1">
      <c r="E55" s="21"/>
      <c r="F55" s="44"/>
      <c r="G55" s="27"/>
      <c r="J55"/>
      <c r="K55"/>
      <c r="L55"/>
      <c r="M55"/>
      <c r="N55"/>
      <c r="O55"/>
      <c r="P55"/>
      <c r="Q55"/>
      <c r="R55"/>
    </row>
    <row r="56" spans="5:18" s="18" customFormat="1" ht="15.75" customHeight="1">
      <c r="E56" s="21"/>
      <c r="F56" s="44"/>
      <c r="G56" s="27"/>
      <c r="J56"/>
      <c r="K56"/>
      <c r="L56"/>
      <c r="M56"/>
      <c r="N56"/>
      <c r="O56"/>
      <c r="P56"/>
      <c r="Q56"/>
      <c r="R56"/>
    </row>
    <row r="57" spans="5:18" s="18" customFormat="1" ht="15.75" customHeight="1">
      <c r="E57" s="21"/>
      <c r="F57" s="44"/>
      <c r="G57" s="27"/>
      <c r="J57"/>
      <c r="K57"/>
      <c r="L57"/>
      <c r="M57"/>
      <c r="N57"/>
      <c r="O57"/>
      <c r="P57"/>
      <c r="Q57"/>
      <c r="R57"/>
    </row>
    <row r="58" spans="5:18" s="18" customFormat="1" ht="15.75" customHeight="1">
      <c r="E58" s="21"/>
      <c r="F58" s="44"/>
      <c r="G58" s="27"/>
      <c r="J58"/>
      <c r="K58"/>
      <c r="L58"/>
      <c r="M58"/>
      <c r="N58"/>
      <c r="O58"/>
      <c r="P58"/>
      <c r="Q58"/>
      <c r="R58"/>
    </row>
    <row r="59" spans="5:18" s="18" customFormat="1" ht="15.75" customHeight="1">
      <c r="E59" s="21"/>
      <c r="F59" s="44"/>
      <c r="G59" s="27"/>
      <c r="J59"/>
      <c r="K59"/>
      <c r="L59"/>
      <c r="M59"/>
      <c r="N59"/>
      <c r="O59"/>
      <c r="P59"/>
      <c r="Q59"/>
      <c r="R59"/>
    </row>
    <row r="60" spans="5:18" s="18" customFormat="1" ht="15.75" customHeight="1">
      <c r="E60" s="21"/>
      <c r="F60" s="44"/>
      <c r="G60" s="27"/>
      <c r="J60"/>
      <c r="K60"/>
      <c r="L60"/>
      <c r="M60"/>
      <c r="N60"/>
      <c r="O60"/>
      <c r="P60"/>
      <c r="Q60"/>
      <c r="R60"/>
    </row>
    <row r="61" spans="5:18" s="18" customFormat="1" ht="15.75" customHeight="1">
      <c r="E61" s="21"/>
      <c r="F61" s="44"/>
      <c r="G61" s="27"/>
      <c r="J61"/>
      <c r="K61"/>
      <c r="L61"/>
      <c r="M61"/>
      <c r="N61"/>
      <c r="O61"/>
      <c r="P61"/>
      <c r="Q61"/>
      <c r="R61"/>
    </row>
    <row r="62" spans="5:18" s="18" customFormat="1" ht="15.75" customHeight="1">
      <c r="E62" s="21"/>
      <c r="F62" s="44"/>
      <c r="G62" s="27"/>
      <c r="J62"/>
      <c r="K62"/>
      <c r="L62"/>
      <c r="M62"/>
      <c r="N62"/>
      <c r="O62"/>
      <c r="P62"/>
      <c r="Q62"/>
      <c r="R62"/>
    </row>
    <row r="63" spans="5:18" s="18" customFormat="1" ht="15.75" customHeight="1">
      <c r="E63" s="21"/>
      <c r="F63" s="44"/>
      <c r="G63" s="27"/>
      <c r="J63"/>
      <c r="K63"/>
      <c r="L63"/>
      <c r="M63"/>
      <c r="N63"/>
      <c r="O63"/>
      <c r="P63"/>
      <c r="Q63"/>
      <c r="R63"/>
    </row>
    <row r="64" spans="5:18" s="18" customFormat="1" ht="15.75" customHeight="1">
      <c r="E64" s="21"/>
      <c r="F64" s="44"/>
      <c r="G64" s="27"/>
      <c r="J64"/>
      <c r="K64"/>
      <c r="L64"/>
      <c r="M64"/>
      <c r="N64"/>
      <c r="O64"/>
      <c r="P64"/>
      <c r="Q64"/>
      <c r="R64"/>
    </row>
    <row r="65" spans="5:18" s="18" customFormat="1" ht="15.75" customHeight="1">
      <c r="E65" s="21"/>
      <c r="F65" s="44"/>
      <c r="G65" s="27"/>
      <c r="J65"/>
      <c r="K65"/>
      <c r="L65"/>
      <c r="M65"/>
      <c r="N65"/>
      <c r="O65"/>
      <c r="P65"/>
      <c r="Q65"/>
      <c r="R65"/>
    </row>
    <row r="66" spans="5:18" s="18" customFormat="1" ht="15.75" customHeight="1">
      <c r="E66" s="21"/>
      <c r="F66" s="44"/>
      <c r="G66" s="27"/>
      <c r="J66"/>
      <c r="K66"/>
      <c r="L66"/>
      <c r="M66"/>
      <c r="N66"/>
      <c r="O66"/>
      <c r="P66"/>
      <c r="Q66"/>
      <c r="R66"/>
    </row>
    <row r="67" spans="5:18" s="18" customFormat="1" ht="15.75" customHeight="1">
      <c r="E67" s="21"/>
      <c r="F67" s="44"/>
      <c r="G67" s="27"/>
      <c r="J67"/>
      <c r="K67"/>
      <c r="L67"/>
      <c r="M67"/>
      <c r="N67"/>
      <c r="O67"/>
      <c r="P67"/>
      <c r="Q67"/>
      <c r="R67"/>
    </row>
    <row r="68" spans="5:18" s="18" customFormat="1" ht="15.75" customHeight="1">
      <c r="E68" s="21"/>
      <c r="F68" s="44"/>
      <c r="G68" s="27"/>
      <c r="J68"/>
      <c r="K68"/>
      <c r="L68"/>
      <c r="M68"/>
      <c r="N68"/>
      <c r="O68"/>
      <c r="P68"/>
      <c r="Q68"/>
      <c r="R68"/>
    </row>
    <row r="69" spans="5:18" s="18" customFormat="1" ht="15.75" customHeight="1">
      <c r="E69" s="21"/>
      <c r="F69" s="44"/>
      <c r="G69" s="27"/>
      <c r="J69"/>
      <c r="K69"/>
      <c r="L69"/>
      <c r="M69"/>
      <c r="N69"/>
      <c r="O69"/>
      <c r="P69"/>
      <c r="Q69"/>
      <c r="R69"/>
    </row>
    <row r="70" spans="5:18" s="18" customFormat="1" ht="15.75" customHeight="1">
      <c r="E70" s="21"/>
      <c r="F70" s="44"/>
      <c r="G70" s="27"/>
      <c r="J70"/>
      <c r="K70"/>
      <c r="L70"/>
      <c r="M70"/>
      <c r="N70"/>
      <c r="O70"/>
      <c r="P70"/>
      <c r="Q70"/>
      <c r="R70"/>
    </row>
    <row r="71" spans="5:18" s="18" customFormat="1" ht="15.75" customHeight="1">
      <c r="E71" s="21"/>
      <c r="F71" s="44"/>
      <c r="G71" s="27"/>
      <c r="J71"/>
      <c r="K71"/>
      <c r="L71"/>
      <c r="M71"/>
      <c r="N71"/>
      <c r="O71"/>
      <c r="P71"/>
      <c r="Q71"/>
      <c r="R71"/>
    </row>
    <row r="72" spans="5:18" s="18" customFormat="1" ht="15.75" customHeight="1">
      <c r="E72" s="21"/>
      <c r="F72" s="44"/>
      <c r="G72" s="27"/>
      <c r="J72"/>
      <c r="K72"/>
      <c r="L72"/>
      <c r="M72"/>
      <c r="N72"/>
      <c r="O72"/>
      <c r="P72"/>
      <c r="Q72"/>
      <c r="R72"/>
    </row>
    <row r="73" spans="5:18" s="18" customFormat="1" ht="15.75" customHeight="1">
      <c r="E73" s="21"/>
      <c r="F73" s="44"/>
      <c r="G73" s="27"/>
      <c r="J73"/>
      <c r="K73"/>
      <c r="L73"/>
      <c r="M73"/>
      <c r="N73"/>
      <c r="O73"/>
      <c r="P73"/>
      <c r="Q73"/>
      <c r="R73"/>
    </row>
    <row r="74" spans="5:18" s="18" customFormat="1" ht="15.75" customHeight="1">
      <c r="E74" s="21"/>
      <c r="F74" s="44"/>
      <c r="G74" s="27"/>
      <c r="J74"/>
      <c r="K74"/>
      <c r="L74"/>
      <c r="M74"/>
      <c r="N74"/>
      <c r="O74"/>
      <c r="P74"/>
      <c r="Q74"/>
      <c r="R74"/>
    </row>
    <row r="75" spans="5:18" s="18" customFormat="1" ht="15.75" customHeight="1">
      <c r="E75" s="21"/>
      <c r="F75" s="44"/>
      <c r="G75" s="27"/>
      <c r="J75"/>
      <c r="K75"/>
      <c r="L75"/>
      <c r="M75"/>
      <c r="N75"/>
      <c r="O75"/>
      <c r="P75"/>
      <c r="Q75"/>
      <c r="R75"/>
    </row>
    <row r="76" spans="5:18" s="18" customFormat="1" ht="15.75" customHeight="1">
      <c r="E76" s="21"/>
      <c r="F76" s="44"/>
      <c r="G76" s="27"/>
      <c r="J76"/>
      <c r="K76"/>
      <c r="L76"/>
      <c r="M76"/>
      <c r="N76"/>
      <c r="O76"/>
      <c r="P76"/>
      <c r="Q76"/>
      <c r="R76"/>
    </row>
    <row r="77" spans="5:18" s="18" customFormat="1" ht="15.75" customHeight="1">
      <c r="E77" s="21"/>
      <c r="F77" s="44"/>
      <c r="G77" s="27"/>
      <c r="J77"/>
      <c r="K77"/>
      <c r="L77"/>
      <c r="M77"/>
      <c r="N77"/>
      <c r="O77"/>
      <c r="P77"/>
      <c r="Q77"/>
      <c r="R77"/>
    </row>
    <row r="78" spans="5:18" s="18" customFormat="1" ht="15.75" customHeight="1">
      <c r="E78" s="21"/>
      <c r="F78" s="44"/>
      <c r="G78" s="27"/>
      <c r="J78"/>
      <c r="K78"/>
      <c r="L78"/>
      <c r="M78"/>
      <c r="N78"/>
      <c r="O78"/>
      <c r="P78"/>
      <c r="Q78"/>
      <c r="R78"/>
    </row>
    <row r="79" spans="5:18" s="18" customFormat="1" ht="15.75" customHeight="1">
      <c r="E79" s="21"/>
      <c r="F79" s="44"/>
      <c r="G79" s="27"/>
      <c r="J79"/>
      <c r="K79"/>
      <c r="L79"/>
      <c r="M79"/>
      <c r="N79"/>
      <c r="O79"/>
      <c r="P79"/>
      <c r="Q79"/>
      <c r="R79"/>
    </row>
    <row r="80" spans="5:18" s="18" customFormat="1" ht="15.75" customHeight="1">
      <c r="E80" s="21"/>
      <c r="F80" s="44"/>
      <c r="G80" s="27"/>
      <c r="J80"/>
      <c r="K80"/>
      <c r="L80"/>
      <c r="M80"/>
      <c r="N80"/>
      <c r="O80"/>
      <c r="P80"/>
      <c r="Q80"/>
      <c r="R80"/>
    </row>
    <row r="81" spans="5:18" s="18" customFormat="1" ht="15.75" customHeight="1">
      <c r="E81" s="21"/>
      <c r="F81" s="44"/>
      <c r="G81" s="27"/>
      <c r="J81"/>
      <c r="K81"/>
      <c r="L81"/>
      <c r="M81"/>
      <c r="N81"/>
      <c r="O81"/>
      <c r="P81"/>
      <c r="Q81"/>
      <c r="R81"/>
    </row>
    <row r="82" spans="5:18" s="18" customFormat="1" ht="15.75" customHeight="1">
      <c r="E82" s="21"/>
      <c r="F82" s="44"/>
      <c r="G82" s="27"/>
      <c r="J82"/>
      <c r="K82"/>
      <c r="L82"/>
      <c r="M82"/>
      <c r="N82"/>
      <c r="O82"/>
      <c r="P82"/>
      <c r="Q82"/>
      <c r="R82"/>
    </row>
    <row r="83" spans="5:18" s="18" customFormat="1" ht="15.75" customHeight="1">
      <c r="E83" s="21"/>
      <c r="F83" s="44"/>
      <c r="G83" s="27"/>
      <c r="J83"/>
      <c r="K83"/>
      <c r="L83"/>
      <c r="M83"/>
      <c r="N83"/>
      <c r="O83"/>
      <c r="P83"/>
      <c r="Q83"/>
      <c r="R83"/>
    </row>
    <row r="84" spans="5:18" s="18" customFormat="1" ht="15.75" customHeight="1">
      <c r="E84" s="21"/>
      <c r="F84" s="44"/>
      <c r="G84" s="27"/>
      <c r="J84"/>
      <c r="K84"/>
      <c r="L84"/>
      <c r="M84"/>
      <c r="N84"/>
      <c r="O84"/>
      <c r="P84"/>
      <c r="Q84"/>
      <c r="R84"/>
    </row>
    <row r="85" spans="5:18" s="18" customFormat="1" ht="15.75" customHeight="1">
      <c r="E85" s="21"/>
      <c r="F85" s="44"/>
      <c r="G85" s="27"/>
      <c r="J85"/>
      <c r="K85"/>
      <c r="L85"/>
      <c r="M85"/>
      <c r="N85"/>
      <c r="O85"/>
      <c r="P85"/>
      <c r="Q85"/>
      <c r="R85"/>
    </row>
    <row r="86" spans="5:18" s="18" customFormat="1" ht="15.75" customHeight="1">
      <c r="E86" s="21"/>
      <c r="F86" s="44"/>
      <c r="G86" s="27"/>
      <c r="J86"/>
      <c r="K86"/>
      <c r="L86"/>
      <c r="M86"/>
      <c r="N86"/>
      <c r="O86"/>
      <c r="P86"/>
      <c r="Q86"/>
      <c r="R86"/>
    </row>
    <row r="87" spans="5:18" s="18" customFormat="1" ht="15.75" customHeight="1">
      <c r="E87" s="21"/>
      <c r="F87" s="44"/>
      <c r="G87" s="27"/>
      <c r="J87"/>
      <c r="K87"/>
      <c r="L87"/>
      <c r="M87"/>
      <c r="N87"/>
      <c r="O87"/>
      <c r="P87"/>
      <c r="Q87"/>
      <c r="R87"/>
    </row>
    <row r="88" spans="5:18" s="18" customFormat="1" ht="15.75" customHeight="1">
      <c r="E88" s="21"/>
      <c r="F88" s="44"/>
      <c r="G88" s="27"/>
      <c r="J88"/>
      <c r="K88"/>
      <c r="L88"/>
      <c r="M88"/>
      <c r="N88"/>
      <c r="O88"/>
      <c r="P88"/>
      <c r="Q88"/>
      <c r="R88"/>
    </row>
    <row r="89" spans="5:18" s="18" customFormat="1" ht="15.75" customHeight="1">
      <c r="E89" s="21"/>
      <c r="F89" s="44"/>
      <c r="G89" s="27"/>
      <c r="J89"/>
      <c r="K89"/>
      <c r="L89"/>
      <c r="M89"/>
      <c r="N89"/>
      <c r="O89"/>
      <c r="P89"/>
      <c r="Q89"/>
      <c r="R89"/>
    </row>
    <row r="90" spans="5:18" s="18" customFormat="1" ht="15.75" customHeight="1">
      <c r="E90" s="21"/>
      <c r="F90" s="44"/>
      <c r="G90" s="27"/>
      <c r="J90"/>
      <c r="K90"/>
      <c r="L90"/>
      <c r="M90"/>
      <c r="N90"/>
      <c r="O90"/>
      <c r="P90"/>
      <c r="Q90"/>
      <c r="R90"/>
    </row>
    <row r="91" spans="5:18" s="18" customFormat="1" ht="15.75" customHeight="1">
      <c r="E91" s="21"/>
      <c r="F91" s="44"/>
      <c r="G91" s="27"/>
      <c r="J91"/>
      <c r="K91"/>
      <c r="L91"/>
      <c r="M91"/>
      <c r="N91"/>
      <c r="O91"/>
      <c r="P91"/>
      <c r="Q91"/>
      <c r="R91"/>
    </row>
    <row r="92" spans="5:18" s="18" customFormat="1" ht="15.75" customHeight="1">
      <c r="E92" s="21"/>
      <c r="F92" s="44"/>
      <c r="G92" s="27"/>
      <c r="J92"/>
      <c r="K92"/>
      <c r="L92"/>
      <c r="M92"/>
      <c r="N92"/>
      <c r="O92"/>
      <c r="P92"/>
      <c r="Q92"/>
      <c r="R92"/>
    </row>
    <row r="93" spans="5:18" s="18" customFormat="1" ht="15.75" customHeight="1">
      <c r="E93" s="21"/>
      <c r="F93" s="44"/>
      <c r="G93" s="27"/>
      <c r="J93"/>
      <c r="K93"/>
      <c r="L93"/>
      <c r="M93"/>
      <c r="N93"/>
      <c r="O93"/>
      <c r="P93"/>
      <c r="Q93"/>
      <c r="R93"/>
    </row>
    <row r="94" spans="5:18" s="18" customFormat="1" ht="15.75" customHeight="1">
      <c r="E94" s="21"/>
      <c r="F94" s="44"/>
      <c r="G94" s="27"/>
      <c r="J94"/>
      <c r="K94"/>
      <c r="L94"/>
      <c r="M94"/>
      <c r="N94"/>
      <c r="O94"/>
      <c r="P94"/>
      <c r="Q94"/>
      <c r="R94"/>
    </row>
    <row r="95" spans="5:18" s="18" customFormat="1" ht="15.75" customHeight="1">
      <c r="E95" s="21"/>
      <c r="F95" s="44"/>
      <c r="G95" s="27"/>
      <c r="J95"/>
      <c r="K95"/>
      <c r="L95"/>
      <c r="M95"/>
      <c r="N95"/>
      <c r="O95"/>
      <c r="P95"/>
      <c r="Q95"/>
      <c r="R95"/>
    </row>
    <row r="96" spans="5:18" s="18" customFormat="1" ht="15.75" customHeight="1">
      <c r="E96" s="21"/>
      <c r="F96" s="44"/>
      <c r="G96" s="27"/>
      <c r="J96"/>
      <c r="K96"/>
      <c r="L96"/>
      <c r="M96"/>
      <c r="N96"/>
      <c r="O96"/>
      <c r="P96"/>
      <c r="Q96"/>
      <c r="R96"/>
    </row>
    <row r="97" spans="5:18" s="18" customFormat="1" ht="15.75" customHeight="1">
      <c r="E97" s="21"/>
      <c r="F97" s="44"/>
      <c r="G97" s="27"/>
      <c r="J97"/>
      <c r="K97"/>
      <c r="L97"/>
      <c r="M97"/>
      <c r="N97"/>
      <c r="O97"/>
      <c r="P97"/>
      <c r="Q97"/>
      <c r="R97"/>
    </row>
    <row r="98" spans="5:18" s="18" customFormat="1" ht="15.75" customHeight="1">
      <c r="E98" s="21"/>
      <c r="F98" s="44"/>
      <c r="G98" s="27"/>
      <c r="J98"/>
      <c r="K98"/>
      <c r="L98"/>
      <c r="M98"/>
      <c r="N98"/>
      <c r="O98"/>
      <c r="P98"/>
      <c r="Q98"/>
      <c r="R98"/>
    </row>
    <row r="99" spans="5:18" s="18" customFormat="1" ht="15.75" customHeight="1">
      <c r="E99" s="21"/>
      <c r="F99" s="44"/>
      <c r="G99" s="27"/>
      <c r="J99"/>
      <c r="K99"/>
      <c r="L99"/>
      <c r="M99"/>
      <c r="N99"/>
      <c r="O99"/>
      <c r="P99"/>
      <c r="Q99"/>
      <c r="R99"/>
    </row>
    <row r="100" spans="5:18" s="18" customFormat="1" ht="15.75" customHeight="1">
      <c r="E100" s="21"/>
      <c r="F100" s="44"/>
      <c r="G100" s="27"/>
      <c r="J100"/>
      <c r="K100"/>
      <c r="L100"/>
      <c r="M100"/>
      <c r="N100"/>
      <c r="O100"/>
      <c r="P100"/>
      <c r="Q100"/>
      <c r="R100"/>
    </row>
    <row r="101" spans="5:18" s="18" customFormat="1" ht="15.75" customHeight="1">
      <c r="E101" s="21"/>
      <c r="F101" s="44"/>
      <c r="G101" s="27"/>
      <c r="J101"/>
      <c r="K101"/>
      <c r="L101"/>
      <c r="M101"/>
      <c r="N101"/>
      <c r="O101"/>
      <c r="P101"/>
      <c r="Q101"/>
      <c r="R101"/>
    </row>
    <row r="102" spans="5:18" s="18" customFormat="1" ht="15.75" customHeight="1">
      <c r="E102" s="21"/>
      <c r="F102" s="44"/>
      <c r="G102" s="27"/>
      <c r="J102"/>
      <c r="K102"/>
      <c r="L102"/>
      <c r="M102"/>
      <c r="N102"/>
      <c r="O102"/>
      <c r="P102"/>
      <c r="Q102"/>
      <c r="R102"/>
    </row>
    <row r="103" spans="5:18" s="18" customFormat="1" ht="15.75" customHeight="1">
      <c r="E103" s="21"/>
      <c r="F103" s="44"/>
      <c r="G103" s="27"/>
      <c r="J103"/>
      <c r="K103"/>
      <c r="L103"/>
      <c r="M103"/>
      <c r="N103"/>
      <c r="O103"/>
      <c r="P103"/>
      <c r="Q103"/>
      <c r="R103"/>
    </row>
    <row r="104" spans="5:18" s="18" customFormat="1" ht="15.75" customHeight="1">
      <c r="E104" s="21"/>
      <c r="F104" s="44"/>
      <c r="G104" s="27"/>
      <c r="J104"/>
      <c r="K104"/>
      <c r="L104"/>
      <c r="M104"/>
      <c r="N104"/>
      <c r="O104"/>
      <c r="P104"/>
      <c r="Q104"/>
      <c r="R104"/>
    </row>
    <row r="105" spans="5:18" s="18" customFormat="1" ht="15.75" customHeight="1">
      <c r="E105" s="21"/>
      <c r="F105" s="44"/>
      <c r="G105" s="27"/>
      <c r="J105"/>
      <c r="K105"/>
      <c r="L105"/>
      <c r="M105"/>
      <c r="N105"/>
      <c r="O105"/>
      <c r="P105"/>
      <c r="Q105"/>
      <c r="R105"/>
    </row>
    <row r="106" spans="5:18" s="18" customFormat="1" ht="15.75" customHeight="1">
      <c r="E106" s="21"/>
      <c r="F106" s="44"/>
      <c r="G106" s="27"/>
      <c r="J106"/>
      <c r="K106"/>
      <c r="L106"/>
      <c r="M106"/>
      <c r="N106"/>
      <c r="O106"/>
      <c r="P106"/>
      <c r="Q106"/>
      <c r="R106"/>
    </row>
    <row r="107" spans="5:18" s="18" customFormat="1" ht="15.75" customHeight="1">
      <c r="E107" s="21"/>
      <c r="F107" s="44"/>
      <c r="G107" s="27"/>
      <c r="J107"/>
      <c r="K107"/>
      <c r="L107"/>
      <c r="M107"/>
      <c r="N107"/>
      <c r="O107"/>
      <c r="P107"/>
      <c r="Q107"/>
      <c r="R107"/>
    </row>
    <row r="108" spans="5:18" s="18" customFormat="1" ht="15.75" customHeight="1">
      <c r="E108" s="21"/>
      <c r="F108" s="44"/>
      <c r="G108" s="27"/>
      <c r="J108"/>
      <c r="K108"/>
      <c r="L108"/>
      <c r="M108"/>
      <c r="N108"/>
      <c r="O108"/>
      <c r="P108"/>
      <c r="Q108"/>
      <c r="R108"/>
    </row>
    <row r="109" spans="5:18" s="18" customFormat="1" ht="15.75" customHeight="1">
      <c r="E109" s="21"/>
      <c r="F109" s="44"/>
      <c r="G109" s="27"/>
      <c r="J109"/>
      <c r="K109"/>
      <c r="L109"/>
      <c r="M109"/>
      <c r="N109"/>
      <c r="O109"/>
      <c r="P109"/>
      <c r="Q109"/>
      <c r="R109"/>
    </row>
    <row r="110" spans="5:18" s="18" customFormat="1" ht="15.75" customHeight="1">
      <c r="E110" s="21"/>
      <c r="F110" s="44"/>
      <c r="G110" s="27"/>
      <c r="J110"/>
      <c r="K110"/>
      <c r="L110"/>
      <c r="M110"/>
      <c r="N110"/>
      <c r="O110"/>
      <c r="P110"/>
      <c r="Q110"/>
      <c r="R110"/>
    </row>
    <row r="111" spans="5:18" s="18" customFormat="1" ht="15.75" customHeight="1">
      <c r="E111" s="21"/>
      <c r="F111" s="44"/>
      <c r="G111" s="27"/>
      <c r="J111"/>
      <c r="K111"/>
      <c r="L111"/>
      <c r="M111"/>
      <c r="N111"/>
      <c r="O111"/>
      <c r="P111"/>
      <c r="Q111"/>
      <c r="R111"/>
    </row>
    <row r="112" spans="5:18" s="18" customFormat="1" ht="15.75" customHeight="1">
      <c r="E112" s="21"/>
      <c r="F112" s="44"/>
      <c r="G112" s="27"/>
      <c r="J112"/>
      <c r="K112"/>
      <c r="L112"/>
      <c r="M112"/>
      <c r="N112"/>
      <c r="O112"/>
      <c r="P112"/>
      <c r="Q112"/>
      <c r="R112"/>
    </row>
    <row r="113" spans="5:18" s="18" customFormat="1" ht="15.75" customHeight="1">
      <c r="E113" s="21"/>
      <c r="F113" s="44"/>
      <c r="G113" s="27"/>
      <c r="J113"/>
      <c r="K113"/>
      <c r="L113"/>
      <c r="M113"/>
      <c r="N113"/>
      <c r="O113"/>
      <c r="P113"/>
      <c r="Q113"/>
      <c r="R113"/>
    </row>
    <row r="114" spans="5:18" s="18" customFormat="1" ht="15.75" customHeight="1">
      <c r="E114" s="21"/>
      <c r="F114" s="44"/>
      <c r="G114" s="27"/>
      <c r="J114"/>
      <c r="K114"/>
      <c r="L114"/>
      <c r="M114"/>
      <c r="N114"/>
      <c r="O114"/>
      <c r="P114"/>
      <c r="Q114"/>
      <c r="R114"/>
    </row>
    <row r="115" spans="5:18" s="18" customFormat="1" ht="15.75" customHeight="1">
      <c r="E115" s="21"/>
      <c r="F115" s="44"/>
      <c r="G115" s="27"/>
      <c r="J115"/>
      <c r="K115"/>
      <c r="L115"/>
      <c r="M115"/>
      <c r="N115"/>
      <c r="O115"/>
      <c r="P115"/>
      <c r="Q115"/>
      <c r="R115"/>
    </row>
    <row r="116" spans="5:18" s="18" customFormat="1" ht="15.75" customHeight="1">
      <c r="E116" s="21"/>
      <c r="F116" s="44"/>
      <c r="G116" s="27"/>
      <c r="J116"/>
      <c r="K116"/>
      <c r="L116"/>
      <c r="M116"/>
      <c r="N116"/>
      <c r="O116"/>
      <c r="P116"/>
      <c r="Q116"/>
      <c r="R116"/>
    </row>
    <row r="117" spans="5:18" s="18" customFormat="1" ht="15.75" customHeight="1">
      <c r="E117" s="21"/>
      <c r="F117" s="44"/>
      <c r="G117" s="27"/>
      <c r="J117"/>
      <c r="K117"/>
      <c r="L117"/>
      <c r="M117"/>
      <c r="N117"/>
      <c r="O117"/>
      <c r="P117"/>
      <c r="Q117"/>
      <c r="R117"/>
    </row>
    <row r="118" spans="5:18" s="18" customFormat="1" ht="15.75" customHeight="1">
      <c r="E118" s="21"/>
      <c r="F118" s="44"/>
      <c r="G118" s="27"/>
      <c r="J118"/>
      <c r="K118"/>
      <c r="L118"/>
      <c r="M118"/>
      <c r="N118"/>
      <c r="O118"/>
      <c r="P118"/>
      <c r="Q118"/>
      <c r="R118"/>
    </row>
    <row r="119" spans="5:18" s="18" customFormat="1" ht="15.75" customHeight="1">
      <c r="E119" s="21"/>
      <c r="F119" s="44"/>
      <c r="G119" s="27"/>
      <c r="J119"/>
      <c r="K119"/>
      <c r="L119"/>
      <c r="M119"/>
      <c r="N119"/>
      <c r="O119"/>
      <c r="P119"/>
      <c r="Q119"/>
      <c r="R119"/>
    </row>
    <row r="120" spans="5:18" s="18" customFormat="1" ht="15.75" customHeight="1">
      <c r="E120" s="21"/>
      <c r="F120" s="44"/>
      <c r="G120" s="27"/>
      <c r="J120"/>
      <c r="K120"/>
      <c r="L120"/>
      <c r="M120"/>
      <c r="N120"/>
      <c r="O120"/>
      <c r="P120"/>
      <c r="Q120"/>
      <c r="R120"/>
    </row>
    <row r="121" spans="5:18" s="18" customFormat="1" ht="15.75" customHeight="1">
      <c r="E121" s="21"/>
      <c r="F121" s="44"/>
      <c r="G121" s="27"/>
      <c r="J121"/>
      <c r="K121"/>
      <c r="L121"/>
      <c r="M121"/>
      <c r="N121"/>
      <c r="O121"/>
      <c r="P121"/>
      <c r="Q121"/>
      <c r="R121"/>
    </row>
    <row r="122" spans="5:18" s="18" customFormat="1" ht="15.75" customHeight="1">
      <c r="E122" s="21"/>
      <c r="F122" s="44"/>
      <c r="G122" s="27"/>
      <c r="J122"/>
      <c r="K122"/>
      <c r="L122"/>
      <c r="M122"/>
      <c r="N122"/>
      <c r="O122"/>
      <c r="P122"/>
      <c r="Q122"/>
      <c r="R122"/>
    </row>
    <row r="123" spans="5:18" s="18" customFormat="1" ht="15.75" customHeight="1">
      <c r="E123" s="21"/>
      <c r="F123" s="44"/>
      <c r="G123" s="27"/>
      <c r="J123"/>
      <c r="K123"/>
      <c r="L123"/>
      <c r="M123"/>
      <c r="N123"/>
      <c r="O123"/>
      <c r="P123"/>
      <c r="Q123"/>
      <c r="R123"/>
    </row>
    <row r="124" spans="5:18" s="18" customFormat="1" ht="15.75" customHeight="1">
      <c r="E124" s="21"/>
      <c r="F124" s="44"/>
      <c r="G124" s="27"/>
      <c r="J124"/>
      <c r="K124"/>
      <c r="L124"/>
      <c r="M124"/>
      <c r="N124"/>
      <c r="O124"/>
      <c r="P124"/>
      <c r="Q124"/>
      <c r="R124"/>
    </row>
    <row r="125" spans="5:18" s="18" customFormat="1" ht="15.75" customHeight="1">
      <c r="E125" s="21"/>
      <c r="F125" s="44"/>
      <c r="G125" s="27"/>
      <c r="J125"/>
      <c r="K125"/>
      <c r="L125"/>
      <c r="M125"/>
      <c r="N125"/>
      <c r="O125"/>
      <c r="P125"/>
      <c r="Q125"/>
      <c r="R125"/>
    </row>
    <row r="126" spans="5:18" s="18" customFormat="1" ht="15.75" customHeight="1">
      <c r="E126" s="21"/>
      <c r="F126" s="44"/>
      <c r="G126" s="27"/>
      <c r="J126"/>
      <c r="K126"/>
      <c r="L126"/>
      <c r="M126"/>
      <c r="N126"/>
      <c r="O126"/>
      <c r="P126"/>
      <c r="Q126"/>
      <c r="R126"/>
    </row>
    <row r="127" spans="5:18" s="18" customFormat="1" ht="15.75" customHeight="1">
      <c r="E127" s="21"/>
      <c r="F127" s="44"/>
      <c r="G127" s="27"/>
      <c r="J127"/>
      <c r="K127"/>
      <c r="L127"/>
      <c r="M127"/>
      <c r="N127"/>
      <c r="O127"/>
      <c r="P127"/>
      <c r="Q127"/>
      <c r="R127"/>
    </row>
    <row r="128" spans="5:18" s="18" customFormat="1" ht="15.75" customHeight="1">
      <c r="E128" s="21"/>
      <c r="F128" s="44"/>
      <c r="G128" s="27"/>
      <c r="J128"/>
      <c r="K128"/>
      <c r="L128"/>
      <c r="M128"/>
      <c r="N128"/>
      <c r="O128"/>
      <c r="P128"/>
      <c r="Q128"/>
      <c r="R128"/>
    </row>
    <row r="129" spans="5:18" s="18" customFormat="1" ht="15.75" customHeight="1">
      <c r="E129" s="21"/>
      <c r="F129" s="44"/>
      <c r="G129" s="27"/>
      <c r="J129"/>
      <c r="K129"/>
      <c r="L129"/>
      <c r="M129"/>
      <c r="N129"/>
      <c r="O129"/>
      <c r="P129"/>
      <c r="Q129"/>
      <c r="R129"/>
    </row>
    <row r="130" spans="5:18" s="18" customFormat="1" ht="15.75" customHeight="1">
      <c r="E130" s="21"/>
      <c r="F130" s="44"/>
      <c r="G130" s="27"/>
      <c r="J130"/>
      <c r="K130"/>
      <c r="L130"/>
      <c r="M130"/>
      <c r="N130"/>
      <c r="O130"/>
      <c r="P130"/>
      <c r="Q130"/>
      <c r="R130"/>
    </row>
    <row r="131" spans="5:18" s="18" customFormat="1" ht="15.75" customHeight="1">
      <c r="E131" s="21"/>
      <c r="F131" s="44"/>
      <c r="G131" s="27"/>
      <c r="J131"/>
      <c r="K131"/>
      <c r="L131"/>
      <c r="M131"/>
      <c r="N131"/>
      <c r="O131"/>
      <c r="P131"/>
      <c r="Q131"/>
      <c r="R131"/>
    </row>
    <row r="132" spans="5:18" s="18" customFormat="1" ht="15.75" customHeight="1">
      <c r="E132" s="21"/>
      <c r="F132" s="44"/>
      <c r="G132" s="27"/>
      <c r="J132"/>
      <c r="K132"/>
      <c r="L132"/>
      <c r="M132"/>
      <c r="N132"/>
      <c r="O132"/>
      <c r="P132"/>
      <c r="Q132"/>
      <c r="R132"/>
    </row>
    <row r="133" spans="5:18" s="18" customFormat="1" ht="15.75" customHeight="1">
      <c r="E133" s="21"/>
      <c r="F133" s="44"/>
      <c r="G133" s="27"/>
      <c r="J133"/>
      <c r="K133"/>
      <c r="L133"/>
      <c r="M133"/>
      <c r="N133"/>
      <c r="O133"/>
      <c r="P133"/>
      <c r="Q133"/>
      <c r="R133"/>
    </row>
    <row r="134" spans="5:18" s="18" customFormat="1" ht="15.75" customHeight="1">
      <c r="E134" s="21"/>
      <c r="F134" s="44"/>
      <c r="G134" s="27"/>
      <c r="J134"/>
      <c r="K134"/>
      <c r="L134"/>
      <c r="M134"/>
      <c r="N134"/>
      <c r="O134"/>
      <c r="P134"/>
      <c r="Q134"/>
      <c r="R134"/>
    </row>
    <row r="135" spans="5:18" s="18" customFormat="1" ht="15.75" customHeight="1">
      <c r="E135" s="21"/>
      <c r="F135" s="44"/>
      <c r="G135" s="27"/>
      <c r="J135"/>
      <c r="K135"/>
      <c r="L135"/>
      <c r="M135"/>
      <c r="N135"/>
      <c r="O135"/>
      <c r="P135"/>
      <c r="Q135"/>
      <c r="R135"/>
    </row>
    <row r="136" spans="5:18" s="18" customFormat="1" ht="15.75" customHeight="1">
      <c r="E136" s="21"/>
      <c r="F136" s="44"/>
      <c r="G136" s="27"/>
      <c r="J136"/>
      <c r="K136"/>
      <c r="L136"/>
      <c r="M136"/>
      <c r="N136"/>
      <c r="O136"/>
      <c r="P136"/>
      <c r="Q136"/>
      <c r="R136"/>
    </row>
    <row r="137" spans="5:18" s="18" customFormat="1" ht="15.75" customHeight="1">
      <c r="E137" s="21"/>
      <c r="F137" s="44"/>
      <c r="G137" s="27"/>
      <c r="J137"/>
      <c r="K137"/>
      <c r="L137"/>
      <c r="M137"/>
      <c r="N137"/>
      <c r="O137"/>
      <c r="P137"/>
      <c r="Q137"/>
      <c r="R137"/>
    </row>
    <row r="138" spans="5:18" s="18" customFormat="1" ht="15.75" customHeight="1">
      <c r="E138" s="21"/>
      <c r="F138" s="44"/>
      <c r="G138" s="27"/>
      <c r="J138"/>
      <c r="K138"/>
      <c r="L138"/>
      <c r="M138"/>
      <c r="N138"/>
      <c r="O138"/>
      <c r="P138"/>
      <c r="Q138"/>
      <c r="R138"/>
    </row>
    <row r="139" spans="5:18" s="18" customFormat="1" ht="15.75" customHeight="1">
      <c r="E139" s="21"/>
      <c r="F139" s="44"/>
      <c r="G139" s="27"/>
      <c r="J139"/>
      <c r="K139"/>
      <c r="L139"/>
      <c r="M139"/>
      <c r="N139"/>
      <c r="O139"/>
      <c r="P139"/>
      <c r="Q139"/>
      <c r="R139"/>
    </row>
    <row r="140" spans="5:18" s="18" customFormat="1" ht="15.75" customHeight="1">
      <c r="E140" s="21"/>
      <c r="F140" s="44"/>
      <c r="G140" s="27"/>
      <c r="J140"/>
      <c r="K140"/>
      <c r="L140"/>
      <c r="M140"/>
      <c r="N140"/>
      <c r="O140"/>
      <c r="P140"/>
      <c r="Q140"/>
      <c r="R140"/>
    </row>
    <row r="141" spans="5:18" s="18" customFormat="1" ht="15.75" customHeight="1">
      <c r="E141" s="21"/>
      <c r="F141" s="44"/>
      <c r="G141" s="27"/>
      <c r="J141"/>
      <c r="K141"/>
      <c r="L141"/>
      <c r="M141"/>
      <c r="N141"/>
      <c r="O141"/>
      <c r="P141"/>
      <c r="Q141"/>
      <c r="R141"/>
    </row>
    <row r="142" spans="5:18" s="18" customFormat="1" ht="15.75" customHeight="1">
      <c r="E142" s="21"/>
      <c r="F142" s="44"/>
      <c r="G142" s="27"/>
      <c r="J142"/>
      <c r="K142"/>
      <c r="L142"/>
      <c r="M142"/>
      <c r="N142"/>
      <c r="O142"/>
      <c r="P142"/>
      <c r="Q142"/>
      <c r="R142"/>
    </row>
    <row r="143" spans="5:18" s="18" customFormat="1" ht="15.75" customHeight="1">
      <c r="E143" s="21"/>
      <c r="F143" s="44"/>
      <c r="G143" s="27"/>
      <c r="J143"/>
      <c r="K143"/>
      <c r="L143"/>
      <c r="M143"/>
      <c r="N143"/>
      <c r="O143"/>
      <c r="P143"/>
      <c r="Q143"/>
      <c r="R143"/>
    </row>
    <row r="144" spans="5:18" s="18" customFormat="1" ht="15.75" customHeight="1">
      <c r="E144" s="21"/>
      <c r="F144" s="44"/>
      <c r="G144" s="27"/>
      <c r="J144"/>
      <c r="K144"/>
      <c r="L144"/>
      <c r="M144"/>
      <c r="N144"/>
      <c r="O144"/>
      <c r="P144"/>
      <c r="Q144"/>
      <c r="R144"/>
    </row>
    <row r="145" spans="5:18" s="18" customFormat="1" ht="15.75" customHeight="1">
      <c r="E145" s="21"/>
      <c r="F145" s="44"/>
      <c r="G145" s="27"/>
      <c r="J145"/>
      <c r="K145"/>
      <c r="L145"/>
      <c r="M145"/>
      <c r="N145"/>
      <c r="O145"/>
      <c r="P145"/>
      <c r="Q145"/>
      <c r="R145"/>
    </row>
    <row r="146" spans="5:18" s="18" customFormat="1" ht="15.75" customHeight="1">
      <c r="E146" s="21"/>
      <c r="F146" s="44"/>
      <c r="G146" s="27"/>
      <c r="J146"/>
      <c r="K146"/>
      <c r="L146"/>
      <c r="M146"/>
      <c r="N146"/>
      <c r="O146"/>
      <c r="P146"/>
      <c r="Q146"/>
      <c r="R146"/>
    </row>
    <row r="147" spans="5:18" s="18" customFormat="1" ht="15.75" customHeight="1">
      <c r="E147" s="21"/>
      <c r="F147" s="44"/>
      <c r="G147" s="27"/>
      <c r="J147"/>
      <c r="K147"/>
      <c r="L147"/>
      <c r="M147"/>
      <c r="N147"/>
      <c r="O147"/>
      <c r="P147"/>
      <c r="Q147"/>
      <c r="R147"/>
    </row>
    <row r="148" spans="5:18" s="18" customFormat="1" ht="15.75" customHeight="1">
      <c r="E148" s="21"/>
      <c r="F148" s="44"/>
      <c r="G148" s="27"/>
      <c r="J148"/>
      <c r="K148"/>
      <c r="L148"/>
      <c r="M148"/>
      <c r="N148"/>
      <c r="O148"/>
      <c r="P148"/>
      <c r="Q148"/>
      <c r="R148"/>
    </row>
    <row r="149" spans="5:18" s="18" customFormat="1" ht="15.75" customHeight="1">
      <c r="E149" s="21"/>
      <c r="F149" s="44"/>
      <c r="G149" s="27"/>
      <c r="J149"/>
      <c r="K149"/>
      <c r="L149"/>
      <c r="M149"/>
      <c r="N149"/>
      <c r="O149"/>
      <c r="P149"/>
      <c r="Q149"/>
      <c r="R149"/>
    </row>
    <row r="150" spans="5:18" s="18" customFormat="1" ht="15.75" customHeight="1">
      <c r="E150" s="21"/>
      <c r="F150" s="44"/>
      <c r="G150" s="27"/>
      <c r="J150"/>
      <c r="K150"/>
      <c r="L150"/>
      <c r="M150"/>
      <c r="N150"/>
      <c r="O150"/>
      <c r="P150"/>
      <c r="Q150"/>
      <c r="R150"/>
    </row>
    <row r="151" spans="5:18" s="18" customFormat="1" ht="15.75" customHeight="1">
      <c r="E151" s="21"/>
      <c r="F151" s="44"/>
      <c r="G151" s="27"/>
      <c r="J151"/>
      <c r="K151"/>
      <c r="L151"/>
      <c r="M151"/>
      <c r="N151"/>
      <c r="O151"/>
      <c r="P151"/>
      <c r="Q151"/>
      <c r="R151"/>
    </row>
    <row r="152" spans="5:18" s="18" customFormat="1" ht="15.75" customHeight="1">
      <c r="E152" s="21"/>
      <c r="F152" s="44"/>
      <c r="G152" s="27"/>
      <c r="J152"/>
      <c r="K152"/>
      <c r="L152"/>
      <c r="M152"/>
      <c r="N152"/>
      <c r="O152"/>
      <c r="P152"/>
      <c r="Q152"/>
      <c r="R152"/>
    </row>
    <row r="153" spans="5:18" s="18" customFormat="1" ht="15.75" customHeight="1">
      <c r="E153" s="21"/>
      <c r="F153" s="44"/>
      <c r="G153" s="27"/>
      <c r="J153"/>
      <c r="K153"/>
      <c r="L153"/>
      <c r="M153"/>
      <c r="N153"/>
      <c r="O153"/>
      <c r="P153"/>
      <c r="Q153"/>
      <c r="R153"/>
    </row>
    <row r="154" spans="5:18" s="18" customFormat="1" ht="15.75" customHeight="1">
      <c r="E154" s="21"/>
      <c r="F154" s="44"/>
      <c r="G154" s="27"/>
      <c r="J154"/>
      <c r="K154"/>
      <c r="L154"/>
      <c r="M154"/>
      <c r="N154"/>
      <c r="O154"/>
      <c r="P154"/>
      <c r="Q154"/>
      <c r="R154"/>
    </row>
    <row r="155" spans="5:18" s="18" customFormat="1" ht="15.75" customHeight="1">
      <c r="E155" s="21"/>
      <c r="F155" s="44"/>
      <c r="G155" s="27"/>
      <c r="J155"/>
      <c r="K155"/>
      <c r="L155"/>
      <c r="M155"/>
      <c r="N155"/>
      <c r="O155"/>
      <c r="P155"/>
      <c r="Q155"/>
      <c r="R155"/>
    </row>
    <row r="156" spans="5:18" s="18" customFormat="1" ht="15.75" customHeight="1">
      <c r="E156" s="21"/>
      <c r="F156" s="44"/>
      <c r="G156" s="27"/>
      <c r="J156"/>
      <c r="K156"/>
      <c r="L156"/>
      <c r="M156"/>
      <c r="N156"/>
      <c r="O156"/>
      <c r="P156"/>
      <c r="Q156"/>
      <c r="R156"/>
    </row>
    <row r="157" spans="5:18" s="18" customFormat="1" ht="15.75" customHeight="1">
      <c r="E157" s="21"/>
      <c r="F157" s="44"/>
      <c r="G157" s="27"/>
      <c r="J157"/>
      <c r="K157"/>
      <c r="L157"/>
      <c r="M157"/>
      <c r="N157"/>
      <c r="O157"/>
      <c r="P157"/>
      <c r="Q157"/>
      <c r="R157"/>
    </row>
    <row r="158" spans="5:18" s="18" customFormat="1" ht="15.75" customHeight="1">
      <c r="E158" s="21"/>
      <c r="F158" s="44"/>
      <c r="G158" s="27"/>
      <c r="J158"/>
      <c r="K158"/>
      <c r="L158"/>
      <c r="M158"/>
      <c r="N158"/>
      <c r="O158"/>
      <c r="P158"/>
      <c r="Q158"/>
      <c r="R158"/>
    </row>
    <row r="159" spans="5:18" s="18" customFormat="1" ht="15.75" customHeight="1">
      <c r="E159" s="21"/>
      <c r="F159" s="44"/>
      <c r="G159" s="27"/>
      <c r="J159"/>
      <c r="K159"/>
      <c r="L159"/>
      <c r="M159"/>
      <c r="N159"/>
      <c r="O159"/>
      <c r="P159"/>
      <c r="Q159"/>
      <c r="R159"/>
    </row>
    <row r="160" spans="5:18" s="18" customFormat="1" ht="15.75" customHeight="1">
      <c r="E160" s="21"/>
      <c r="F160" s="44"/>
      <c r="G160" s="27"/>
      <c r="J160"/>
      <c r="K160"/>
      <c r="L160"/>
      <c r="M160"/>
      <c r="N160"/>
      <c r="O160"/>
      <c r="P160"/>
      <c r="Q160"/>
      <c r="R160"/>
    </row>
    <row r="161" spans="5:18" s="18" customFormat="1" ht="15.75" customHeight="1">
      <c r="E161" s="21"/>
      <c r="F161" s="44"/>
      <c r="G161" s="27"/>
      <c r="J161"/>
      <c r="K161"/>
      <c r="L161"/>
      <c r="M161"/>
      <c r="N161"/>
      <c r="O161"/>
      <c r="P161"/>
      <c r="Q161"/>
      <c r="R161"/>
    </row>
    <row r="162" spans="5:18" s="18" customFormat="1" ht="15.75" customHeight="1">
      <c r="E162" s="21"/>
      <c r="F162" s="44"/>
      <c r="G162" s="27"/>
      <c r="J162"/>
      <c r="K162"/>
      <c r="L162"/>
      <c r="M162"/>
      <c r="N162"/>
      <c r="O162"/>
      <c r="P162"/>
      <c r="Q162"/>
      <c r="R162"/>
    </row>
    <row r="163" spans="5:18" s="18" customFormat="1" ht="15.75" customHeight="1">
      <c r="E163" s="21"/>
      <c r="F163" s="44"/>
      <c r="G163" s="27"/>
      <c r="J163"/>
      <c r="K163"/>
      <c r="L163"/>
      <c r="M163"/>
      <c r="N163"/>
      <c r="O163"/>
      <c r="P163"/>
      <c r="Q163"/>
      <c r="R163"/>
    </row>
    <row r="164" spans="5:18" s="18" customFormat="1" ht="15.75" customHeight="1">
      <c r="E164" s="21"/>
      <c r="F164" s="44"/>
      <c r="G164" s="27"/>
      <c r="J164"/>
      <c r="K164"/>
      <c r="L164"/>
      <c r="M164"/>
      <c r="N164"/>
      <c r="O164"/>
      <c r="P164"/>
      <c r="Q164"/>
      <c r="R164"/>
    </row>
  </sheetData>
  <autoFilter ref="A8:P37" xr:uid="{00000000-0009-0000-0000-000000000000}"/>
  <mergeCells count="62">
    <mergeCell ref="E37:F37"/>
    <mergeCell ref="N37:O37"/>
    <mergeCell ref="E38:F38"/>
    <mergeCell ref="G38:H38"/>
    <mergeCell ref="N38:O38"/>
    <mergeCell ref="E27:F27"/>
    <mergeCell ref="E28:F28"/>
    <mergeCell ref="E29:F29"/>
    <mergeCell ref="N29:O29"/>
    <mergeCell ref="E36:F36"/>
    <mergeCell ref="N36:O36"/>
    <mergeCell ref="E30:F30"/>
    <mergeCell ref="E31:F31"/>
    <mergeCell ref="E32:F32"/>
    <mergeCell ref="E33:F33"/>
    <mergeCell ref="E34:F34"/>
    <mergeCell ref="E35:F35"/>
    <mergeCell ref="N26:O26"/>
    <mergeCell ref="E15:F15"/>
    <mergeCell ref="E17:F17"/>
    <mergeCell ref="E18:F18"/>
    <mergeCell ref="E19:F19"/>
    <mergeCell ref="E20:F20"/>
    <mergeCell ref="E21:F21"/>
    <mergeCell ref="E16:F16"/>
    <mergeCell ref="E22:F22"/>
    <mergeCell ref="E23:F23"/>
    <mergeCell ref="E24:F24"/>
    <mergeCell ref="E25:F25"/>
    <mergeCell ref="E26:F26"/>
    <mergeCell ref="E11:F11"/>
    <mergeCell ref="N11:O11"/>
    <mergeCell ref="E12:F12"/>
    <mergeCell ref="E13:F13"/>
    <mergeCell ref="E14:F14"/>
    <mergeCell ref="E9:F9"/>
    <mergeCell ref="N9:O9"/>
    <mergeCell ref="E10:F10"/>
    <mergeCell ref="N10:O10"/>
    <mergeCell ref="B7:D7"/>
    <mergeCell ref="E7:I7"/>
    <mergeCell ref="J7:L7"/>
    <mergeCell ref="N7:P7"/>
    <mergeCell ref="E8:F8"/>
    <mergeCell ref="N8:O8"/>
    <mergeCell ref="Q2:Q5"/>
    <mergeCell ref="R2:R5"/>
    <mergeCell ref="C3:C5"/>
    <mergeCell ref="D3:D5"/>
    <mergeCell ref="F3:G3"/>
    <mergeCell ref="F4:G4"/>
    <mergeCell ref="F5:G5"/>
    <mergeCell ref="B1:D1"/>
    <mergeCell ref="E1:I1"/>
    <mergeCell ref="N1:P1"/>
    <mergeCell ref="E2:E6"/>
    <mergeCell ref="F2:G2"/>
    <mergeCell ref="J2:L6"/>
    <mergeCell ref="M2:M6"/>
    <mergeCell ref="N2:N6"/>
    <mergeCell ref="O2:P6"/>
    <mergeCell ref="F6:I6"/>
  </mergeCells>
  <conditionalFormatting sqref="A32">
    <cfRule type="expression" dxfId="104" priority="1">
      <formula>M32 = "On Hold"</formula>
    </cfRule>
  </conditionalFormatting>
  <conditionalFormatting sqref="A36:A37">
    <cfRule type="expression" dxfId="103" priority="4">
      <formula>M36 = "On Hold"</formula>
    </cfRule>
  </conditionalFormatting>
  <conditionalFormatting sqref="B2:B5 J9:P37">
    <cfRule type="cellIs" dxfId="102" priority="2" operator="equal">
      <formula>"Done"</formula>
    </cfRule>
    <cfRule type="cellIs" dxfId="101" priority="3" operator="equal">
      <formula>"On Hold"</formula>
    </cfRule>
    <cfRule type="cellIs" dxfId="100" priority="5" operator="equal">
      <formula>"Ready for Review"</formula>
    </cfRule>
    <cfRule type="cellIs" dxfId="99" priority="6" operator="equal">
      <formula>"In Review"</formula>
    </cfRule>
  </conditionalFormatting>
  <dataValidations count="7">
    <dataValidation type="list" allowBlank="1" showErrorMessage="1" sqref="B2" xr:uid="{85C71DE2-5147-4CAF-A81D-DB074D953E49}">
      <formula1>STT_Statuses</formula1>
    </dataValidation>
    <dataValidation type="list" allowBlank="1" sqref="B4:B5" xr:uid="{E06D6657-99FB-4CC1-82B4-74052AB5B19E}">
      <formula1>ETL_Statuses</formula1>
    </dataValidation>
    <dataValidation type="list" allowBlank="1" sqref="B3 M9:M37" xr:uid="{30BF3A72-35CA-4AD1-8CDB-D3C63E1B4388}">
      <formula1>Statuses</formula1>
    </dataValidation>
    <dataValidation type="list" allowBlank="1" sqref="B18 B20:B24 B9:B16 B26:B37" xr:uid="{6674001A-2FB5-4E1E-A368-2950CD8522CC}">
      <formula1>Data_Types</formula1>
    </dataValidation>
    <dataValidation type="list" allowBlank="1" sqref="N9:N37" xr:uid="{360878F8-FECD-4BF3-B43E-0088F0D6D678}">
      <formula1>Categories</formula1>
    </dataValidation>
    <dataValidation type="list" allowBlank="1" sqref="P9:P37" xr:uid="{38DE8329-DB01-440A-B52C-1D4773BBD515}">
      <formula1>Versions</formula1>
    </dataValidation>
    <dataValidation type="list" allowBlank="1" sqref="E9:E37" xr:uid="{7C4F00F2-22DE-4B3A-971A-51AEC2443053}">
      <formula1>Sources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D18B2-F53C-4443-9124-00F57D5E5E52}">
  <sheetPr>
    <tabColor theme="4" tint="0.59999389629810485"/>
    <outlinePr summaryBelow="0" summaryRight="0"/>
  </sheetPr>
  <dimension ref="A1:R150"/>
  <sheetViews>
    <sheetView zoomScale="90" zoomScaleNormal="90" workbookViewId="0">
      <pane xSplit="1" ySplit="8" topLeftCell="B9" activePane="bottomRight" state="frozen"/>
      <selection pane="bottomRight" activeCell="G38" sqref="G38"/>
      <selection pane="bottomLeft" activeCell="A9" sqref="A9"/>
      <selection pane="topRight" activeCell="B1" sqref="B1"/>
    </sheetView>
  </sheetViews>
  <sheetFormatPr defaultColWidth="12.7109375" defaultRowHeight="15" customHeight="1" outlineLevelRow="1" outlineLevelCol="1"/>
  <cols>
    <col min="1" max="1" width="39.140625" style="18" customWidth="1"/>
    <col min="2" max="2" width="11.85546875" style="18" customWidth="1" outlineLevel="1"/>
    <col min="3" max="3" width="7" style="18" customWidth="1" outlineLevel="1"/>
    <col min="4" max="4" width="28" style="18" customWidth="1" outlineLevel="1"/>
    <col min="5" max="5" width="2.28515625" style="21" customWidth="1"/>
    <col min="6" max="6" width="12.7109375" style="44" customWidth="1" outlineLevel="1"/>
    <col min="7" max="7" width="43.7109375" style="27" customWidth="1" outlineLevel="1"/>
    <col min="8" max="8" width="30.7109375" style="18" customWidth="1" outlineLevel="1"/>
    <col min="9" max="9" width="33.140625" style="18" customWidth="1" outlineLevel="1"/>
    <col min="10" max="10" width="5.85546875" hidden="1" customWidth="1" outlineLevel="1"/>
    <col min="11" max="11" width="5" hidden="1" customWidth="1" outlineLevel="1"/>
    <col min="12" max="12" width="11.7109375" hidden="1" customWidth="1" outlineLevel="1"/>
    <col min="13" max="13" width="2.28515625" customWidth="1"/>
    <col min="14" max="14" width="2.28515625" customWidth="1" collapsed="1"/>
    <col min="15" max="15" width="10.7109375" hidden="1" customWidth="1" outlineLevel="1"/>
    <col min="16" max="16" width="11" hidden="1" customWidth="1" outlineLevel="1"/>
    <col min="17" max="18" width="47.7109375" customWidth="1"/>
  </cols>
  <sheetData>
    <row r="1" spans="1:18" ht="5.25" customHeight="1" outlineLevel="1">
      <c r="A1" s="28"/>
      <c r="B1" s="109"/>
      <c r="C1" s="106"/>
      <c r="D1" s="106"/>
      <c r="E1" s="110"/>
      <c r="F1" s="106"/>
      <c r="G1" s="106"/>
      <c r="H1" s="106"/>
      <c r="I1" s="106"/>
      <c r="J1" s="2"/>
      <c r="K1" s="2"/>
      <c r="L1" s="2"/>
      <c r="M1" s="2"/>
      <c r="N1" s="111"/>
      <c r="O1" s="124"/>
      <c r="P1" s="124"/>
    </row>
    <row r="2" spans="1:18" ht="15.75" customHeight="1" outlineLevel="1">
      <c r="A2" s="29" t="s">
        <v>0</v>
      </c>
      <c r="B2" s="29" t="s">
        <v>1</v>
      </c>
      <c r="C2" s="30"/>
      <c r="D2" s="31" t="s">
        <v>2</v>
      </c>
      <c r="E2" s="112" t="s">
        <v>3</v>
      </c>
      <c r="F2" s="115" t="s">
        <v>4</v>
      </c>
      <c r="G2" s="116"/>
      <c r="H2" s="19" t="s">
        <v>5</v>
      </c>
      <c r="I2" s="20"/>
      <c r="J2" s="117"/>
      <c r="K2" s="125"/>
      <c r="L2" s="126"/>
      <c r="M2" s="118" t="s">
        <v>6</v>
      </c>
      <c r="N2" s="119" t="s">
        <v>7</v>
      </c>
      <c r="O2" s="120"/>
      <c r="P2" s="126"/>
      <c r="Q2" s="127" t="s">
        <v>8</v>
      </c>
      <c r="R2" s="128" t="s">
        <v>9</v>
      </c>
    </row>
    <row r="3" spans="1:18" ht="15.75" customHeight="1" outlineLevel="1">
      <c r="A3" s="29" t="s">
        <v>10</v>
      </c>
      <c r="B3" s="29"/>
      <c r="C3" s="108"/>
      <c r="D3" s="121" t="s">
        <v>110</v>
      </c>
      <c r="E3" s="113"/>
      <c r="F3" s="103" t="s">
        <v>111</v>
      </c>
      <c r="G3" s="104"/>
      <c r="H3" s="19" t="s">
        <v>13</v>
      </c>
      <c r="I3" s="20"/>
      <c r="J3" s="129"/>
      <c r="K3" s="128"/>
      <c r="L3" s="130"/>
      <c r="M3" s="131"/>
      <c r="N3" s="131"/>
      <c r="O3" s="129"/>
      <c r="P3" s="130"/>
      <c r="Q3" s="127"/>
      <c r="R3" s="128"/>
    </row>
    <row r="4" spans="1:18" ht="15.75" customHeight="1" outlineLevel="1">
      <c r="A4" s="29" t="s">
        <v>14</v>
      </c>
      <c r="B4" s="29"/>
      <c r="C4" s="108"/>
      <c r="D4" s="113"/>
      <c r="E4" s="113"/>
      <c r="F4" s="115" t="s">
        <v>15</v>
      </c>
      <c r="G4" s="116"/>
      <c r="H4" s="19" t="s">
        <v>16</v>
      </c>
      <c r="I4" s="20"/>
      <c r="J4" s="129"/>
      <c r="K4" s="128"/>
      <c r="L4" s="130"/>
      <c r="M4" s="131"/>
      <c r="N4" s="131"/>
      <c r="O4" s="129"/>
      <c r="P4" s="130"/>
      <c r="Q4" s="127"/>
      <c r="R4" s="128"/>
    </row>
    <row r="5" spans="1:18" ht="15.75" customHeight="1" outlineLevel="1">
      <c r="A5" s="29" t="s">
        <v>17</v>
      </c>
      <c r="B5" s="29"/>
      <c r="C5" s="108"/>
      <c r="D5" s="114"/>
      <c r="E5" s="113"/>
      <c r="F5" s="103" t="s">
        <v>18</v>
      </c>
      <c r="G5" s="104"/>
      <c r="H5" s="19" t="s">
        <v>19</v>
      </c>
      <c r="I5" s="20"/>
      <c r="J5" s="129"/>
      <c r="K5" s="128"/>
      <c r="L5" s="130"/>
      <c r="M5" s="131"/>
      <c r="N5" s="131"/>
      <c r="O5" s="129"/>
      <c r="P5" s="130"/>
      <c r="Q5" s="132"/>
      <c r="R5" s="133"/>
    </row>
    <row r="6" spans="1:18" ht="15.75" customHeight="1" outlineLevel="1">
      <c r="A6" s="21"/>
      <c r="B6" s="21"/>
      <c r="C6" s="32" t="e" vm="1">
        <v>#VALUE!</v>
      </c>
      <c r="D6" s="21"/>
      <c r="E6" s="114"/>
      <c r="F6" s="108"/>
      <c r="G6" s="108"/>
      <c r="H6" s="108"/>
      <c r="I6" s="108"/>
      <c r="J6" s="134"/>
      <c r="K6" s="135"/>
      <c r="L6" s="136"/>
      <c r="M6" s="137"/>
      <c r="N6" s="137"/>
      <c r="O6" s="134"/>
      <c r="P6" s="136"/>
      <c r="Q6" s="10" t="s">
        <v>20</v>
      </c>
      <c r="R6" s="10" t="s">
        <v>20</v>
      </c>
    </row>
    <row r="7" spans="1:18" ht="15.75" customHeight="1">
      <c r="A7" s="33" t="s">
        <v>21</v>
      </c>
      <c r="B7" s="98" t="s">
        <v>21</v>
      </c>
      <c r="C7" s="99"/>
      <c r="D7" s="99"/>
      <c r="E7" s="100" t="s">
        <v>22</v>
      </c>
      <c r="F7" s="99"/>
      <c r="G7" s="99"/>
      <c r="H7" s="99"/>
      <c r="I7" s="101"/>
      <c r="J7" s="138"/>
      <c r="K7" s="138"/>
      <c r="L7" s="139"/>
      <c r="M7" s="53" t="s">
        <v>23</v>
      </c>
      <c r="N7" s="102" t="s">
        <v>24</v>
      </c>
      <c r="O7" s="138"/>
      <c r="P7" s="139"/>
      <c r="Q7" s="62" t="s">
        <v>112</v>
      </c>
      <c r="R7" s="11"/>
    </row>
    <row r="8" spans="1:18" ht="15.75" customHeight="1">
      <c r="A8" s="34" t="s">
        <v>26</v>
      </c>
      <c r="B8" s="34" t="s">
        <v>27</v>
      </c>
      <c r="C8" s="34" t="s">
        <v>28</v>
      </c>
      <c r="D8" s="35" t="s">
        <v>29</v>
      </c>
      <c r="E8" s="94" t="s">
        <v>30</v>
      </c>
      <c r="F8" s="101"/>
      <c r="G8" s="17" t="s">
        <v>31</v>
      </c>
      <c r="H8" s="22" t="s">
        <v>32</v>
      </c>
      <c r="I8" s="23" t="s">
        <v>33</v>
      </c>
      <c r="J8" s="50"/>
      <c r="K8" s="12" t="s">
        <v>31</v>
      </c>
      <c r="L8" s="12" t="s">
        <v>26</v>
      </c>
      <c r="M8" s="52" t="s">
        <v>34</v>
      </c>
      <c r="N8" s="140" t="s">
        <v>35</v>
      </c>
      <c r="O8" s="139"/>
      <c r="P8" s="13" t="s">
        <v>36</v>
      </c>
      <c r="Q8" s="14" t="str">
        <f>"("</f>
        <v>(</v>
      </c>
      <c r="R8" s="14" t="str">
        <f>"("</f>
        <v>(</v>
      </c>
    </row>
    <row r="9" spans="1:18" ht="15.75" customHeight="1">
      <c r="A9" s="70" t="s">
        <v>113</v>
      </c>
      <c r="B9" s="68" t="s">
        <v>38</v>
      </c>
      <c r="C9" s="36" t="e" vm="1">
        <v>#VALUE!</v>
      </c>
      <c r="D9" s="67" t="s">
        <v>114</v>
      </c>
      <c r="E9" s="94" t="s">
        <v>40</v>
      </c>
      <c r="F9" s="95"/>
      <c r="G9" s="69" t="s">
        <v>115</v>
      </c>
      <c r="H9" s="69" t="s">
        <v>113</v>
      </c>
      <c r="I9" s="23"/>
      <c r="J9" s="50"/>
      <c r="K9" s="12"/>
      <c r="L9" s="12"/>
      <c r="M9" s="52"/>
      <c r="N9" s="42"/>
      <c r="O9" s="50"/>
      <c r="P9" s="13"/>
      <c r="Q9" s="14"/>
      <c r="R9" s="14"/>
    </row>
    <row r="10" spans="1:18" ht="15.75" customHeight="1" outlineLevel="1">
      <c r="A10" s="70" t="s">
        <v>37</v>
      </c>
      <c r="B10" s="34" t="s">
        <v>38</v>
      </c>
      <c r="C10" s="36"/>
      <c r="D10" s="16" t="s">
        <v>39</v>
      </c>
      <c r="E10" s="94" t="s">
        <v>40</v>
      </c>
      <c r="F10" s="95"/>
      <c r="G10" s="17" t="s">
        <v>115</v>
      </c>
      <c r="H10" s="17" t="s">
        <v>37</v>
      </c>
      <c r="I10" s="23"/>
      <c r="J10" s="41"/>
      <c r="K10" s="12"/>
      <c r="L10" s="12"/>
      <c r="M10" s="49"/>
      <c r="N10" s="140" t="s">
        <v>42</v>
      </c>
      <c r="O10" s="141"/>
      <c r="P10" s="13" t="s">
        <v>43</v>
      </c>
      <c r="Q10" s="14"/>
      <c r="R10" s="14"/>
    </row>
    <row r="11" spans="1:18" ht="15.75" customHeight="1" outlineLevel="1">
      <c r="A11" s="70" t="s">
        <v>116</v>
      </c>
      <c r="B11" s="34" t="s">
        <v>45</v>
      </c>
      <c r="C11" s="36"/>
      <c r="D11" s="16" t="s">
        <v>117</v>
      </c>
      <c r="E11" s="94" t="s">
        <v>40</v>
      </c>
      <c r="F11" s="95"/>
      <c r="G11" s="17" t="s">
        <v>115</v>
      </c>
      <c r="H11" s="17" t="s">
        <v>116</v>
      </c>
      <c r="I11" s="23"/>
      <c r="J11" s="41"/>
      <c r="K11" s="12"/>
      <c r="L11" s="12"/>
      <c r="M11" s="49"/>
      <c r="N11" s="42"/>
      <c r="O11" s="43"/>
      <c r="P11" s="13"/>
      <c r="Q11" s="14"/>
      <c r="R11" s="14"/>
    </row>
    <row r="12" spans="1:18" ht="15.75" customHeight="1" outlineLevel="1">
      <c r="A12" s="70" t="s">
        <v>49</v>
      </c>
      <c r="B12" s="34" t="s">
        <v>50</v>
      </c>
      <c r="C12" s="36"/>
      <c r="D12" s="16" t="s">
        <v>51</v>
      </c>
      <c r="E12" s="94" t="s">
        <v>40</v>
      </c>
      <c r="F12" s="95"/>
      <c r="G12" s="17" t="s">
        <v>115</v>
      </c>
      <c r="H12" s="17" t="s">
        <v>49</v>
      </c>
      <c r="I12" s="23"/>
      <c r="J12" s="41"/>
      <c r="K12" s="12"/>
      <c r="L12" s="12"/>
      <c r="M12" s="49"/>
      <c r="N12" s="42"/>
      <c r="O12" s="43"/>
      <c r="P12" s="13"/>
      <c r="Q12" s="14"/>
      <c r="R12" s="14"/>
    </row>
    <row r="13" spans="1:18" ht="15.75" customHeight="1" outlineLevel="1">
      <c r="A13" s="70" t="s">
        <v>118</v>
      </c>
      <c r="B13" s="34" t="s">
        <v>38</v>
      </c>
      <c r="C13" s="36"/>
      <c r="D13" s="34" t="s">
        <v>119</v>
      </c>
      <c r="E13" s="94" t="s">
        <v>40</v>
      </c>
      <c r="F13" s="95"/>
      <c r="G13" s="17" t="s">
        <v>115</v>
      </c>
      <c r="H13" s="22" t="s">
        <v>120</v>
      </c>
      <c r="I13" s="23"/>
      <c r="J13" s="41"/>
      <c r="K13" s="12"/>
      <c r="L13" s="12"/>
      <c r="M13" s="49"/>
      <c r="N13" s="42"/>
      <c r="O13" s="43"/>
      <c r="P13" s="13"/>
      <c r="Q13" s="14"/>
      <c r="R13" s="14"/>
    </row>
    <row r="14" spans="1:18" ht="15.75" customHeight="1" outlineLevel="1">
      <c r="A14" s="70" t="s">
        <v>55</v>
      </c>
      <c r="B14" s="34" t="s">
        <v>38</v>
      </c>
      <c r="C14" s="36"/>
      <c r="D14" s="16" t="s">
        <v>56</v>
      </c>
      <c r="E14" s="94" t="s">
        <v>40</v>
      </c>
      <c r="F14" s="95"/>
      <c r="G14" s="17" t="s">
        <v>115</v>
      </c>
      <c r="H14" s="17" t="s">
        <v>121</v>
      </c>
      <c r="I14" s="23"/>
      <c r="J14" s="41"/>
      <c r="K14" s="12"/>
      <c r="L14" s="12"/>
      <c r="M14" s="49"/>
      <c r="N14" s="42"/>
      <c r="O14" s="43"/>
      <c r="P14" s="13"/>
      <c r="Q14" s="14"/>
      <c r="R14" s="14"/>
    </row>
    <row r="15" spans="1:18" ht="15.75" customHeight="1" outlineLevel="1">
      <c r="A15" s="70" t="s">
        <v>71</v>
      </c>
      <c r="B15" s="34" t="s">
        <v>72</v>
      </c>
      <c r="C15" s="36"/>
      <c r="D15" s="34" t="s">
        <v>122</v>
      </c>
      <c r="E15" s="94" t="s">
        <v>40</v>
      </c>
      <c r="F15" s="95"/>
      <c r="G15" s="17" t="s">
        <v>115</v>
      </c>
      <c r="H15" s="17" t="s">
        <v>123</v>
      </c>
      <c r="I15" s="23"/>
      <c r="J15" s="41"/>
      <c r="K15" s="12"/>
      <c r="L15" s="12"/>
      <c r="M15" s="49"/>
      <c r="N15" s="42"/>
      <c r="O15" s="43"/>
      <c r="P15" s="13"/>
      <c r="Q15" s="14"/>
      <c r="R15" s="14"/>
    </row>
    <row r="16" spans="1:18" ht="15.75" customHeight="1" outlineLevel="1">
      <c r="A16" s="70" t="s">
        <v>82</v>
      </c>
      <c r="B16" s="34" t="s">
        <v>50</v>
      </c>
      <c r="C16" s="36"/>
      <c r="D16" s="34" t="s">
        <v>83</v>
      </c>
      <c r="E16" s="94" t="s">
        <v>40</v>
      </c>
      <c r="F16" s="95"/>
      <c r="G16" s="17" t="s">
        <v>115</v>
      </c>
      <c r="H16" s="22" t="s">
        <v>82</v>
      </c>
      <c r="I16" s="23"/>
      <c r="J16" s="41"/>
      <c r="K16" s="12"/>
      <c r="L16" s="12"/>
      <c r="M16" s="49"/>
      <c r="N16" s="42"/>
      <c r="O16" s="43"/>
      <c r="P16" s="13"/>
      <c r="Q16" s="14"/>
      <c r="R16" s="14"/>
    </row>
    <row r="17" spans="1:18" ht="15.75" customHeight="1" outlineLevel="1">
      <c r="A17" s="70" t="s">
        <v>84</v>
      </c>
      <c r="B17" s="34" t="s">
        <v>50</v>
      </c>
      <c r="C17" s="36" t="e" vm="1">
        <v>#VALUE!</v>
      </c>
      <c r="D17" s="34" t="s">
        <v>85</v>
      </c>
      <c r="E17" s="94" t="s">
        <v>40</v>
      </c>
      <c r="F17" s="95"/>
      <c r="G17" s="17" t="s">
        <v>86</v>
      </c>
      <c r="H17" s="23" t="s">
        <v>84</v>
      </c>
      <c r="I17" s="23"/>
      <c r="J17" s="41"/>
      <c r="K17" s="12"/>
      <c r="L17" s="12"/>
      <c r="M17" s="49"/>
      <c r="N17" s="140"/>
      <c r="O17" s="141"/>
      <c r="P17" s="13"/>
      <c r="Q17" s="14"/>
      <c r="R17" s="14"/>
    </row>
    <row r="18" spans="1:18" ht="15.75" customHeight="1" outlineLevel="1">
      <c r="A18" s="70" t="s">
        <v>87</v>
      </c>
      <c r="B18" s="34" t="s">
        <v>38</v>
      </c>
      <c r="C18" s="64"/>
      <c r="D18" s="63" t="s">
        <v>88</v>
      </c>
      <c r="E18" s="94" t="s">
        <v>40</v>
      </c>
      <c r="F18" s="95"/>
      <c r="G18" s="17" t="s">
        <v>86</v>
      </c>
      <c r="H18" s="23" t="s">
        <v>87</v>
      </c>
      <c r="I18" s="23"/>
      <c r="J18" s="41"/>
      <c r="K18" s="12"/>
      <c r="L18" s="12"/>
      <c r="M18" s="49"/>
      <c r="N18" s="42"/>
      <c r="O18" s="43"/>
      <c r="P18" s="13"/>
      <c r="Q18" s="14"/>
      <c r="R18" s="14"/>
    </row>
    <row r="19" spans="1:18" s="79" customFormat="1" ht="15.75" customHeight="1" outlineLevel="1">
      <c r="A19" s="81" t="s">
        <v>124</v>
      </c>
      <c r="B19" s="82" t="s">
        <v>38</v>
      </c>
      <c r="C19" s="83"/>
      <c r="D19" s="82" t="s">
        <v>125</v>
      </c>
      <c r="E19" s="96" t="s">
        <v>40</v>
      </c>
      <c r="F19" s="97"/>
      <c r="G19" s="84" t="s">
        <v>115</v>
      </c>
      <c r="H19" s="85" t="s">
        <v>124</v>
      </c>
      <c r="I19" s="71"/>
      <c r="J19" s="72"/>
      <c r="K19" s="73"/>
      <c r="L19" s="73"/>
      <c r="M19" s="74"/>
      <c r="N19" s="75"/>
      <c r="O19" s="76"/>
      <c r="P19" s="77"/>
      <c r="Q19" s="78"/>
      <c r="R19" s="78"/>
    </row>
    <row r="20" spans="1:18" ht="15.75" customHeight="1" outlineLevel="1">
      <c r="A20" s="70" t="s">
        <v>89</v>
      </c>
      <c r="B20" s="34" t="s">
        <v>50</v>
      </c>
      <c r="C20" s="36"/>
      <c r="D20" s="65" t="s">
        <v>90</v>
      </c>
      <c r="E20" s="94" t="s">
        <v>40</v>
      </c>
      <c r="F20" s="95"/>
      <c r="G20" s="17" t="s">
        <v>91</v>
      </c>
      <c r="H20" s="23" t="s">
        <v>89</v>
      </c>
      <c r="I20" s="23"/>
      <c r="J20" s="41"/>
      <c r="K20" s="12"/>
      <c r="L20" s="12"/>
      <c r="M20" s="49"/>
      <c r="N20" s="42"/>
      <c r="O20" s="43"/>
      <c r="P20" s="13"/>
      <c r="Q20" s="14"/>
      <c r="R20" s="14"/>
    </row>
    <row r="21" spans="1:18" ht="15.75" customHeight="1" outlineLevel="1">
      <c r="A21" s="70" t="s">
        <v>92</v>
      </c>
      <c r="B21" s="63" t="s">
        <v>38</v>
      </c>
      <c r="C21" s="57"/>
      <c r="D21" s="67" t="s">
        <v>93</v>
      </c>
      <c r="E21" s="94" t="s">
        <v>40</v>
      </c>
      <c r="F21" s="95"/>
      <c r="G21" s="17" t="s">
        <v>91</v>
      </c>
      <c r="H21" s="60" t="s">
        <v>92</v>
      </c>
      <c r="I21" s="23"/>
      <c r="J21" s="41"/>
      <c r="K21" s="12"/>
      <c r="L21" s="12"/>
      <c r="M21" s="49"/>
      <c r="N21" s="140"/>
      <c r="O21" s="141"/>
      <c r="P21" s="13"/>
      <c r="Q21" s="14"/>
      <c r="R21" s="14"/>
    </row>
    <row r="22" spans="1:18" ht="15.75" customHeight="1" outlineLevel="1">
      <c r="A22" s="37"/>
      <c r="B22" s="34"/>
      <c r="C22" s="36"/>
      <c r="D22" s="34"/>
      <c r="E22" s="94"/>
      <c r="F22" s="95"/>
      <c r="G22" s="17"/>
      <c r="H22" s="22"/>
      <c r="I22" s="23"/>
      <c r="J22" s="41"/>
      <c r="K22" s="12"/>
      <c r="L22" s="12"/>
      <c r="M22" s="45"/>
      <c r="N22" s="140"/>
      <c r="O22" s="141"/>
      <c r="P22" s="13"/>
      <c r="Q22" s="14"/>
      <c r="R22" s="14"/>
    </row>
    <row r="23" spans="1:18" ht="15.75" customHeight="1" outlineLevel="1">
      <c r="A23" s="38" t="s">
        <v>109</v>
      </c>
      <c r="B23" s="39"/>
      <c r="C23" s="40"/>
      <c r="D23" s="9"/>
      <c r="E23" s="94"/>
      <c r="F23" s="95"/>
      <c r="G23" s="17"/>
      <c r="H23" s="25"/>
      <c r="I23" s="24"/>
      <c r="J23" s="51"/>
      <c r="K23" s="3"/>
      <c r="L23" s="3"/>
      <c r="M23" s="49"/>
      <c r="N23" s="142"/>
      <c r="O23" s="143"/>
      <c r="P23" s="4"/>
      <c r="Q23" s="14"/>
      <c r="R23" s="14"/>
    </row>
    <row r="24" spans="1:18" ht="15.75" customHeight="1">
      <c r="E24" s="107"/>
      <c r="F24" s="108"/>
      <c r="G24" s="105"/>
      <c r="H24" s="106"/>
      <c r="I24" s="26"/>
      <c r="N24" s="124"/>
      <c r="O24" s="124"/>
    </row>
    <row r="25" spans="1:18" ht="15.75" customHeight="1"/>
    <row r="26" spans="1:18" ht="15.75" customHeight="1"/>
    <row r="27" spans="1:18" ht="15.75" customHeight="1"/>
    <row r="28" spans="1:18" ht="15.75" customHeight="1"/>
    <row r="29" spans="1:18" ht="15.75" customHeight="1"/>
    <row r="30" spans="1:18" ht="15.75" customHeight="1"/>
    <row r="31" spans="1:18" ht="15.75" customHeight="1"/>
    <row r="32" spans="1:18" ht="15.75" customHeight="1"/>
    <row r="33" spans="5:18" ht="15.75" customHeight="1"/>
    <row r="34" spans="5:18" ht="15.75" customHeight="1"/>
    <row r="35" spans="5:18" ht="15.75" customHeight="1"/>
    <row r="36" spans="5:18" s="18" customFormat="1" ht="15.75" customHeight="1">
      <c r="E36" s="21"/>
      <c r="F36" s="44"/>
      <c r="G36" s="27"/>
      <c r="J36"/>
      <c r="K36"/>
      <c r="L36"/>
      <c r="M36"/>
      <c r="N36"/>
      <c r="O36"/>
      <c r="P36"/>
      <c r="Q36"/>
      <c r="R36"/>
    </row>
    <row r="37" spans="5:18" s="18" customFormat="1" ht="15.75" customHeight="1">
      <c r="E37" s="21"/>
      <c r="F37" s="44"/>
      <c r="G37" s="27"/>
      <c r="J37"/>
      <c r="K37"/>
      <c r="L37"/>
      <c r="M37"/>
      <c r="N37"/>
      <c r="O37"/>
      <c r="P37"/>
      <c r="Q37"/>
      <c r="R37"/>
    </row>
    <row r="38" spans="5:18" s="18" customFormat="1" ht="15.75" customHeight="1">
      <c r="E38" s="21"/>
      <c r="F38" s="44"/>
      <c r="G38" s="27"/>
      <c r="J38"/>
      <c r="K38"/>
      <c r="L38"/>
      <c r="M38"/>
      <c r="N38"/>
      <c r="O38"/>
      <c r="P38"/>
      <c r="Q38"/>
      <c r="R38"/>
    </row>
    <row r="39" spans="5:18" s="18" customFormat="1" ht="15.75" customHeight="1">
      <c r="E39" s="21"/>
      <c r="F39" s="44"/>
      <c r="G39" s="27"/>
      <c r="J39"/>
      <c r="K39"/>
      <c r="L39"/>
      <c r="M39"/>
      <c r="N39"/>
      <c r="O39"/>
      <c r="P39"/>
      <c r="Q39"/>
      <c r="R39"/>
    </row>
    <row r="40" spans="5:18" s="18" customFormat="1" ht="15.75" customHeight="1">
      <c r="E40" s="21"/>
      <c r="F40" s="44"/>
      <c r="G40" s="27"/>
      <c r="J40"/>
      <c r="K40"/>
      <c r="L40"/>
      <c r="M40"/>
      <c r="N40"/>
      <c r="O40"/>
      <c r="P40"/>
      <c r="Q40"/>
      <c r="R40"/>
    </row>
    <row r="41" spans="5:18" s="18" customFormat="1" ht="15.75" customHeight="1">
      <c r="E41" s="21"/>
      <c r="F41" s="44"/>
      <c r="G41" s="27"/>
      <c r="J41"/>
      <c r="K41"/>
      <c r="L41"/>
      <c r="M41"/>
      <c r="N41"/>
      <c r="O41"/>
      <c r="P41"/>
      <c r="Q41"/>
      <c r="R41"/>
    </row>
    <row r="42" spans="5:18" s="18" customFormat="1" ht="15.75" customHeight="1">
      <c r="E42" s="21"/>
      <c r="F42" s="44"/>
      <c r="G42" s="27"/>
      <c r="J42"/>
      <c r="K42"/>
      <c r="L42"/>
      <c r="M42"/>
      <c r="N42"/>
      <c r="O42"/>
      <c r="P42"/>
      <c r="Q42"/>
      <c r="R42"/>
    </row>
    <row r="43" spans="5:18" s="18" customFormat="1" ht="15.75" customHeight="1">
      <c r="E43" s="21"/>
      <c r="F43" s="44"/>
      <c r="G43" s="27"/>
      <c r="J43"/>
      <c r="K43"/>
      <c r="L43"/>
      <c r="M43"/>
      <c r="N43"/>
      <c r="O43"/>
      <c r="P43"/>
      <c r="Q43"/>
      <c r="R43"/>
    </row>
    <row r="44" spans="5:18" s="18" customFormat="1" ht="15.75" customHeight="1">
      <c r="E44" s="21"/>
      <c r="F44" s="44"/>
      <c r="G44" s="27"/>
      <c r="J44"/>
      <c r="K44"/>
      <c r="L44"/>
      <c r="M44"/>
      <c r="N44"/>
      <c r="O44"/>
      <c r="P44"/>
      <c r="Q44"/>
      <c r="R44"/>
    </row>
    <row r="45" spans="5:18" s="18" customFormat="1" ht="15.75" customHeight="1">
      <c r="E45" s="21"/>
      <c r="F45" s="44"/>
      <c r="G45" s="27"/>
      <c r="J45"/>
      <c r="K45"/>
      <c r="L45"/>
      <c r="M45"/>
      <c r="N45"/>
      <c r="O45"/>
      <c r="P45"/>
      <c r="Q45"/>
      <c r="R45"/>
    </row>
    <row r="46" spans="5:18" s="18" customFormat="1" ht="15.75" customHeight="1">
      <c r="E46" s="21"/>
      <c r="F46" s="44"/>
      <c r="G46" s="27"/>
      <c r="J46"/>
      <c r="K46"/>
      <c r="L46"/>
      <c r="M46"/>
      <c r="N46"/>
      <c r="O46"/>
      <c r="P46"/>
      <c r="Q46"/>
      <c r="R46"/>
    </row>
    <row r="47" spans="5:18" s="18" customFormat="1" ht="15.75" customHeight="1">
      <c r="E47" s="21"/>
      <c r="F47" s="44"/>
      <c r="G47" s="27"/>
      <c r="J47"/>
      <c r="K47"/>
      <c r="L47"/>
      <c r="M47"/>
      <c r="N47"/>
      <c r="O47"/>
      <c r="P47"/>
      <c r="Q47"/>
      <c r="R47"/>
    </row>
    <row r="48" spans="5:18" s="18" customFormat="1" ht="15.75" customHeight="1">
      <c r="E48" s="21"/>
      <c r="F48" s="44"/>
      <c r="G48" s="27"/>
      <c r="J48"/>
      <c r="K48"/>
      <c r="L48"/>
      <c r="M48"/>
      <c r="N48"/>
      <c r="O48"/>
      <c r="P48"/>
      <c r="Q48"/>
      <c r="R48"/>
    </row>
    <row r="49" spans="5:18" s="18" customFormat="1" ht="15.75" customHeight="1">
      <c r="E49" s="21"/>
      <c r="F49" s="44"/>
      <c r="G49" s="27"/>
      <c r="J49"/>
      <c r="K49"/>
      <c r="L49"/>
      <c r="M49"/>
      <c r="N49"/>
      <c r="O49"/>
      <c r="P49"/>
      <c r="Q49"/>
      <c r="R49"/>
    </row>
    <row r="50" spans="5:18" s="18" customFormat="1" ht="15.75" customHeight="1">
      <c r="E50" s="21"/>
      <c r="F50" s="44"/>
      <c r="G50" s="27"/>
      <c r="J50"/>
      <c r="K50"/>
      <c r="L50"/>
      <c r="M50"/>
      <c r="N50"/>
      <c r="O50"/>
      <c r="P50"/>
      <c r="Q50"/>
      <c r="R50"/>
    </row>
    <row r="51" spans="5:18" s="18" customFormat="1" ht="15.75" customHeight="1">
      <c r="E51" s="21"/>
      <c r="F51" s="44"/>
      <c r="G51" s="27"/>
      <c r="J51"/>
      <c r="K51"/>
      <c r="L51"/>
      <c r="M51"/>
      <c r="N51"/>
      <c r="O51"/>
      <c r="P51"/>
      <c r="Q51"/>
      <c r="R51"/>
    </row>
    <row r="52" spans="5:18" s="18" customFormat="1" ht="15.75" customHeight="1">
      <c r="E52" s="21"/>
      <c r="F52" s="44"/>
      <c r="G52" s="27"/>
      <c r="J52"/>
      <c r="K52"/>
      <c r="L52"/>
      <c r="M52"/>
      <c r="N52"/>
      <c r="O52"/>
      <c r="P52"/>
      <c r="Q52"/>
      <c r="R52"/>
    </row>
    <row r="53" spans="5:18" s="18" customFormat="1" ht="15.75" customHeight="1">
      <c r="E53" s="21"/>
      <c r="F53" s="44"/>
      <c r="G53" s="27"/>
      <c r="J53"/>
      <c r="K53"/>
      <c r="L53"/>
      <c r="M53"/>
      <c r="N53"/>
      <c r="O53"/>
      <c r="P53"/>
      <c r="Q53"/>
      <c r="R53"/>
    </row>
    <row r="54" spans="5:18" s="18" customFormat="1" ht="15.75" customHeight="1">
      <c r="E54" s="21"/>
      <c r="F54" s="44"/>
      <c r="G54" s="27"/>
      <c r="J54"/>
      <c r="K54"/>
      <c r="L54"/>
      <c r="M54"/>
      <c r="N54"/>
      <c r="O54"/>
      <c r="P54"/>
      <c r="Q54"/>
      <c r="R54"/>
    </row>
    <row r="55" spans="5:18" s="18" customFormat="1" ht="15.75" customHeight="1">
      <c r="E55" s="21"/>
      <c r="F55" s="44"/>
      <c r="G55" s="27"/>
      <c r="J55"/>
      <c r="K55"/>
      <c r="L55"/>
      <c r="M55"/>
      <c r="N55"/>
      <c r="O55"/>
      <c r="P55"/>
      <c r="Q55"/>
      <c r="R55"/>
    </row>
    <row r="56" spans="5:18" s="18" customFormat="1" ht="15.75" customHeight="1">
      <c r="E56" s="21"/>
      <c r="F56" s="44"/>
      <c r="G56" s="27"/>
      <c r="J56"/>
      <c r="K56"/>
      <c r="L56"/>
      <c r="M56"/>
      <c r="N56"/>
      <c r="O56"/>
      <c r="P56"/>
      <c r="Q56"/>
      <c r="R56"/>
    </row>
    <row r="57" spans="5:18" s="18" customFormat="1" ht="15.75" customHeight="1">
      <c r="E57" s="21"/>
      <c r="F57" s="44"/>
      <c r="G57" s="27"/>
      <c r="J57"/>
      <c r="K57"/>
      <c r="L57"/>
      <c r="M57"/>
      <c r="N57"/>
      <c r="O57"/>
      <c r="P57"/>
      <c r="Q57"/>
      <c r="R57"/>
    </row>
    <row r="58" spans="5:18" s="18" customFormat="1" ht="15.75" customHeight="1">
      <c r="E58" s="21"/>
      <c r="F58" s="44"/>
      <c r="G58" s="27"/>
      <c r="J58"/>
      <c r="K58"/>
      <c r="L58"/>
      <c r="M58"/>
      <c r="N58"/>
      <c r="O58"/>
      <c r="P58"/>
      <c r="Q58"/>
      <c r="R58"/>
    </row>
    <row r="59" spans="5:18" s="18" customFormat="1" ht="15.75" customHeight="1">
      <c r="E59" s="21"/>
      <c r="F59" s="44"/>
      <c r="G59" s="27"/>
      <c r="J59"/>
      <c r="K59"/>
      <c r="L59"/>
      <c r="M59"/>
      <c r="N59"/>
      <c r="O59"/>
      <c r="P59"/>
      <c r="Q59"/>
      <c r="R59"/>
    </row>
    <row r="60" spans="5:18" s="18" customFormat="1" ht="15.75" customHeight="1">
      <c r="E60" s="21"/>
      <c r="F60" s="44"/>
      <c r="G60" s="27"/>
      <c r="J60"/>
      <c r="K60"/>
      <c r="L60"/>
      <c r="M60"/>
      <c r="N60"/>
      <c r="O60"/>
      <c r="P60"/>
      <c r="Q60"/>
      <c r="R60"/>
    </row>
    <row r="61" spans="5:18" s="18" customFormat="1" ht="15.75" customHeight="1">
      <c r="E61" s="21"/>
      <c r="F61" s="44"/>
      <c r="G61" s="27"/>
      <c r="J61"/>
      <c r="K61"/>
      <c r="L61"/>
      <c r="M61"/>
      <c r="N61"/>
      <c r="O61"/>
      <c r="P61"/>
      <c r="Q61"/>
      <c r="R61"/>
    </row>
    <row r="62" spans="5:18" s="18" customFormat="1" ht="15.75" customHeight="1">
      <c r="E62" s="21"/>
      <c r="F62" s="44"/>
      <c r="G62" s="27"/>
      <c r="J62"/>
      <c r="K62"/>
      <c r="L62"/>
      <c r="M62"/>
      <c r="N62"/>
      <c r="O62"/>
      <c r="P62"/>
      <c r="Q62"/>
      <c r="R62"/>
    </row>
    <row r="63" spans="5:18" s="18" customFormat="1" ht="15.75" customHeight="1">
      <c r="E63" s="21"/>
      <c r="F63" s="44"/>
      <c r="G63" s="27"/>
      <c r="J63"/>
      <c r="K63"/>
      <c r="L63"/>
      <c r="M63"/>
      <c r="N63"/>
      <c r="O63"/>
      <c r="P63"/>
      <c r="Q63"/>
      <c r="R63"/>
    </row>
    <row r="64" spans="5:18" s="18" customFormat="1" ht="15.75" customHeight="1">
      <c r="E64" s="21"/>
      <c r="F64" s="44"/>
      <c r="G64" s="27"/>
      <c r="J64"/>
      <c r="K64"/>
      <c r="L64"/>
      <c r="M64"/>
      <c r="N64"/>
      <c r="O64"/>
      <c r="P64"/>
      <c r="Q64"/>
      <c r="R64"/>
    </row>
    <row r="65" spans="5:18" s="18" customFormat="1" ht="15.75" customHeight="1">
      <c r="E65" s="21"/>
      <c r="F65" s="44"/>
      <c r="G65" s="27"/>
      <c r="J65"/>
      <c r="K65"/>
      <c r="L65"/>
      <c r="M65"/>
      <c r="N65"/>
      <c r="O65"/>
      <c r="P65"/>
      <c r="Q65"/>
      <c r="R65"/>
    </row>
    <row r="66" spans="5:18" s="18" customFormat="1" ht="15.75" customHeight="1">
      <c r="E66" s="21"/>
      <c r="F66" s="44"/>
      <c r="G66" s="27"/>
      <c r="J66"/>
      <c r="K66"/>
      <c r="L66"/>
      <c r="M66"/>
      <c r="N66"/>
      <c r="O66"/>
      <c r="P66"/>
      <c r="Q66"/>
      <c r="R66"/>
    </row>
    <row r="67" spans="5:18" s="18" customFormat="1" ht="15.75" customHeight="1">
      <c r="E67" s="21"/>
      <c r="F67" s="44"/>
      <c r="G67" s="27"/>
      <c r="J67"/>
      <c r="K67"/>
      <c r="L67"/>
      <c r="M67"/>
      <c r="N67"/>
      <c r="O67"/>
      <c r="P67"/>
      <c r="Q67"/>
      <c r="R67"/>
    </row>
    <row r="68" spans="5:18" s="18" customFormat="1" ht="15.75" customHeight="1">
      <c r="E68" s="21"/>
      <c r="F68" s="44"/>
      <c r="G68" s="27"/>
      <c r="J68"/>
      <c r="K68"/>
      <c r="L68"/>
      <c r="M68"/>
      <c r="N68"/>
      <c r="O68"/>
      <c r="P68"/>
      <c r="Q68"/>
      <c r="R68"/>
    </row>
    <row r="69" spans="5:18" s="18" customFormat="1" ht="15.75" customHeight="1">
      <c r="E69" s="21"/>
      <c r="F69" s="44"/>
      <c r="G69" s="27"/>
      <c r="J69"/>
      <c r="K69"/>
      <c r="L69"/>
      <c r="M69"/>
      <c r="N69"/>
      <c r="O69"/>
      <c r="P69"/>
      <c r="Q69"/>
      <c r="R69"/>
    </row>
    <row r="70" spans="5:18" s="18" customFormat="1" ht="15.75" customHeight="1">
      <c r="E70" s="21"/>
      <c r="F70" s="44"/>
      <c r="G70" s="27"/>
      <c r="J70"/>
      <c r="K70"/>
      <c r="L70"/>
      <c r="M70"/>
      <c r="N70"/>
      <c r="O70"/>
      <c r="P70"/>
      <c r="Q70"/>
      <c r="R70"/>
    </row>
    <row r="71" spans="5:18" s="18" customFormat="1" ht="15.75" customHeight="1">
      <c r="E71" s="21"/>
      <c r="F71" s="44"/>
      <c r="G71" s="27"/>
      <c r="J71"/>
      <c r="K71"/>
      <c r="L71"/>
      <c r="M71"/>
      <c r="N71"/>
      <c r="O71"/>
      <c r="P71"/>
      <c r="Q71"/>
      <c r="R71"/>
    </row>
    <row r="72" spans="5:18" s="18" customFormat="1" ht="15.75" customHeight="1">
      <c r="E72" s="21"/>
      <c r="F72" s="44"/>
      <c r="G72" s="27"/>
      <c r="J72"/>
      <c r="K72"/>
      <c r="L72"/>
      <c r="M72"/>
      <c r="N72"/>
      <c r="O72"/>
      <c r="P72"/>
      <c r="Q72"/>
      <c r="R72"/>
    </row>
    <row r="73" spans="5:18" s="18" customFormat="1" ht="15.75" customHeight="1">
      <c r="E73" s="21"/>
      <c r="F73" s="44"/>
      <c r="G73" s="27"/>
      <c r="J73"/>
      <c r="K73"/>
      <c r="L73"/>
      <c r="M73"/>
      <c r="N73"/>
      <c r="O73"/>
      <c r="P73"/>
      <c r="Q73"/>
      <c r="R73"/>
    </row>
    <row r="74" spans="5:18" s="18" customFormat="1" ht="15.75" customHeight="1">
      <c r="E74" s="21"/>
      <c r="F74" s="44"/>
      <c r="G74" s="27"/>
      <c r="J74"/>
      <c r="K74"/>
      <c r="L74"/>
      <c r="M74"/>
      <c r="N74"/>
      <c r="O74"/>
      <c r="P74"/>
      <c r="Q74"/>
      <c r="R74"/>
    </row>
    <row r="75" spans="5:18" s="18" customFormat="1" ht="15.75" customHeight="1">
      <c r="E75" s="21"/>
      <c r="F75" s="44"/>
      <c r="G75" s="27"/>
      <c r="J75"/>
      <c r="K75"/>
      <c r="L75"/>
      <c r="M75"/>
      <c r="N75"/>
      <c r="O75"/>
      <c r="P75"/>
      <c r="Q75"/>
      <c r="R75"/>
    </row>
    <row r="76" spans="5:18" s="18" customFormat="1" ht="15.75" customHeight="1">
      <c r="E76" s="21"/>
      <c r="F76" s="44"/>
      <c r="G76" s="27"/>
      <c r="J76"/>
      <c r="K76"/>
      <c r="L76"/>
      <c r="M76"/>
      <c r="N76"/>
      <c r="O76"/>
      <c r="P76"/>
      <c r="Q76"/>
      <c r="R76"/>
    </row>
    <row r="77" spans="5:18" s="18" customFormat="1" ht="15.75" customHeight="1">
      <c r="E77" s="21"/>
      <c r="F77" s="44"/>
      <c r="G77" s="27"/>
      <c r="J77"/>
      <c r="K77"/>
      <c r="L77"/>
      <c r="M77"/>
      <c r="N77"/>
      <c r="O77"/>
      <c r="P77"/>
      <c r="Q77"/>
      <c r="R77"/>
    </row>
    <row r="78" spans="5:18" s="18" customFormat="1" ht="15.75" customHeight="1">
      <c r="E78" s="21"/>
      <c r="F78" s="44"/>
      <c r="G78" s="27"/>
      <c r="J78"/>
      <c r="K78"/>
      <c r="L78"/>
      <c r="M78"/>
      <c r="N78"/>
      <c r="O78"/>
      <c r="P78"/>
      <c r="Q78"/>
      <c r="R78"/>
    </row>
    <row r="79" spans="5:18" s="18" customFormat="1" ht="15.75" customHeight="1">
      <c r="E79" s="21"/>
      <c r="F79" s="44"/>
      <c r="G79" s="27"/>
      <c r="J79"/>
      <c r="K79"/>
      <c r="L79"/>
      <c r="M79"/>
      <c r="N79"/>
      <c r="O79"/>
      <c r="P79"/>
      <c r="Q79"/>
      <c r="R79"/>
    </row>
    <row r="80" spans="5:18" s="18" customFormat="1" ht="15.75" customHeight="1">
      <c r="E80" s="21"/>
      <c r="F80" s="44"/>
      <c r="G80" s="27"/>
      <c r="J80"/>
      <c r="K80"/>
      <c r="L80"/>
      <c r="M80"/>
      <c r="N80"/>
      <c r="O80"/>
      <c r="P80"/>
      <c r="Q80"/>
      <c r="R80"/>
    </row>
    <row r="81" spans="5:18" s="18" customFormat="1" ht="15.75" customHeight="1">
      <c r="E81" s="21"/>
      <c r="F81" s="44"/>
      <c r="G81" s="27"/>
      <c r="J81"/>
      <c r="K81"/>
      <c r="L81"/>
      <c r="M81"/>
      <c r="N81"/>
      <c r="O81"/>
      <c r="P81"/>
      <c r="Q81"/>
      <c r="R81"/>
    </row>
    <row r="82" spans="5:18" s="18" customFormat="1" ht="15.75" customHeight="1">
      <c r="E82" s="21"/>
      <c r="F82" s="44"/>
      <c r="G82" s="27"/>
      <c r="J82"/>
      <c r="K82"/>
      <c r="L82"/>
      <c r="M82"/>
      <c r="N82"/>
      <c r="O82"/>
      <c r="P82"/>
      <c r="Q82"/>
      <c r="R82"/>
    </row>
    <row r="83" spans="5:18" s="18" customFormat="1" ht="15.75" customHeight="1">
      <c r="E83" s="21"/>
      <c r="F83" s="44"/>
      <c r="G83" s="27"/>
      <c r="J83"/>
      <c r="K83"/>
      <c r="L83"/>
      <c r="M83"/>
      <c r="N83"/>
      <c r="O83"/>
      <c r="P83"/>
      <c r="Q83"/>
      <c r="R83"/>
    </row>
    <row r="84" spans="5:18" s="18" customFormat="1" ht="15.75" customHeight="1">
      <c r="E84" s="21"/>
      <c r="F84" s="44"/>
      <c r="G84" s="27"/>
      <c r="J84"/>
      <c r="K84"/>
      <c r="L84"/>
      <c r="M84"/>
      <c r="N84"/>
      <c r="O84"/>
      <c r="P84"/>
      <c r="Q84"/>
      <c r="R84"/>
    </row>
    <row r="85" spans="5:18" s="18" customFormat="1" ht="15.75" customHeight="1">
      <c r="E85" s="21"/>
      <c r="F85" s="44"/>
      <c r="G85" s="27"/>
      <c r="J85"/>
      <c r="K85"/>
      <c r="L85"/>
      <c r="M85"/>
      <c r="N85"/>
      <c r="O85"/>
      <c r="P85"/>
      <c r="Q85"/>
      <c r="R85"/>
    </row>
    <row r="86" spans="5:18" s="18" customFormat="1" ht="15.75" customHeight="1">
      <c r="E86" s="21"/>
      <c r="F86" s="44"/>
      <c r="G86" s="27"/>
      <c r="J86"/>
      <c r="K86"/>
      <c r="L86"/>
      <c r="M86"/>
      <c r="N86"/>
      <c r="O86"/>
      <c r="P86"/>
      <c r="Q86"/>
      <c r="R86"/>
    </row>
    <row r="87" spans="5:18" s="18" customFormat="1" ht="15.75" customHeight="1">
      <c r="E87" s="21"/>
      <c r="F87" s="44"/>
      <c r="G87" s="27"/>
      <c r="J87"/>
      <c r="K87"/>
      <c r="L87"/>
      <c r="M87"/>
      <c r="N87"/>
      <c r="O87"/>
      <c r="P87"/>
      <c r="Q87"/>
      <c r="R87"/>
    </row>
    <row r="88" spans="5:18" s="18" customFormat="1" ht="15.75" customHeight="1">
      <c r="E88" s="21"/>
      <c r="F88" s="44"/>
      <c r="G88" s="27"/>
      <c r="J88"/>
      <c r="K88"/>
      <c r="L88"/>
      <c r="M88"/>
      <c r="N88"/>
      <c r="O88"/>
      <c r="P88"/>
      <c r="Q88"/>
      <c r="R88"/>
    </row>
    <row r="89" spans="5:18" s="18" customFormat="1" ht="15.75" customHeight="1">
      <c r="E89" s="21"/>
      <c r="F89" s="44"/>
      <c r="G89" s="27"/>
      <c r="J89"/>
      <c r="K89"/>
      <c r="L89"/>
      <c r="M89"/>
      <c r="N89"/>
      <c r="O89"/>
      <c r="P89"/>
      <c r="Q89"/>
      <c r="R89"/>
    </row>
    <row r="90" spans="5:18" s="18" customFormat="1" ht="15.75" customHeight="1">
      <c r="E90" s="21"/>
      <c r="F90" s="44"/>
      <c r="G90" s="27"/>
      <c r="J90"/>
      <c r="K90"/>
      <c r="L90"/>
      <c r="M90"/>
      <c r="N90"/>
      <c r="O90"/>
      <c r="P90"/>
      <c r="Q90"/>
      <c r="R90"/>
    </row>
    <row r="91" spans="5:18" s="18" customFormat="1" ht="15.75" customHeight="1">
      <c r="E91" s="21"/>
      <c r="F91" s="44"/>
      <c r="G91" s="27"/>
      <c r="J91"/>
      <c r="K91"/>
      <c r="L91"/>
      <c r="M91"/>
      <c r="N91"/>
      <c r="O91"/>
      <c r="P91"/>
      <c r="Q91"/>
      <c r="R91"/>
    </row>
    <row r="92" spans="5:18" s="18" customFormat="1" ht="15.75" customHeight="1">
      <c r="E92" s="21"/>
      <c r="F92" s="44"/>
      <c r="G92" s="27"/>
      <c r="J92"/>
      <c r="K92"/>
      <c r="L92"/>
      <c r="M92"/>
      <c r="N92"/>
      <c r="O92"/>
      <c r="P92"/>
      <c r="Q92"/>
      <c r="R92"/>
    </row>
    <row r="93" spans="5:18" s="18" customFormat="1" ht="15.75" customHeight="1">
      <c r="E93" s="21"/>
      <c r="F93" s="44"/>
      <c r="G93" s="27"/>
      <c r="J93"/>
      <c r="K93"/>
      <c r="L93"/>
      <c r="M93"/>
      <c r="N93"/>
      <c r="O93"/>
      <c r="P93"/>
      <c r="Q93"/>
      <c r="R93"/>
    </row>
    <row r="94" spans="5:18" s="18" customFormat="1" ht="15.75" customHeight="1">
      <c r="E94" s="21"/>
      <c r="F94" s="44"/>
      <c r="G94" s="27"/>
      <c r="J94"/>
      <c r="K94"/>
      <c r="L94"/>
      <c r="M94"/>
      <c r="N94"/>
      <c r="O94"/>
      <c r="P94"/>
      <c r="Q94"/>
      <c r="R94"/>
    </row>
    <row r="95" spans="5:18" s="18" customFormat="1" ht="15.75" customHeight="1">
      <c r="E95" s="21"/>
      <c r="F95" s="44"/>
      <c r="G95" s="27"/>
      <c r="J95"/>
      <c r="K95"/>
      <c r="L95"/>
      <c r="M95"/>
      <c r="N95"/>
      <c r="O95"/>
      <c r="P95"/>
      <c r="Q95"/>
      <c r="R95"/>
    </row>
    <row r="96" spans="5:18" s="18" customFormat="1" ht="15.75" customHeight="1">
      <c r="E96" s="21"/>
      <c r="F96" s="44"/>
      <c r="G96" s="27"/>
      <c r="J96"/>
      <c r="K96"/>
      <c r="L96"/>
      <c r="M96"/>
      <c r="N96"/>
      <c r="O96"/>
      <c r="P96"/>
      <c r="Q96"/>
      <c r="R96"/>
    </row>
    <row r="97" spans="5:18" s="18" customFormat="1" ht="15.75" customHeight="1">
      <c r="E97" s="21"/>
      <c r="F97" s="44"/>
      <c r="G97" s="27"/>
      <c r="J97"/>
      <c r="K97"/>
      <c r="L97"/>
      <c r="M97"/>
      <c r="N97"/>
      <c r="O97"/>
      <c r="P97"/>
      <c r="Q97"/>
      <c r="R97"/>
    </row>
    <row r="98" spans="5:18" s="18" customFormat="1" ht="15.75" customHeight="1">
      <c r="E98" s="21"/>
      <c r="F98" s="44"/>
      <c r="G98" s="27"/>
      <c r="J98"/>
      <c r="K98"/>
      <c r="L98"/>
      <c r="M98"/>
      <c r="N98"/>
      <c r="O98"/>
      <c r="P98"/>
      <c r="Q98"/>
      <c r="R98"/>
    </row>
    <row r="99" spans="5:18" s="18" customFormat="1" ht="15.75" customHeight="1">
      <c r="E99" s="21"/>
      <c r="F99" s="44"/>
      <c r="G99" s="27"/>
      <c r="J99"/>
      <c r="K99"/>
      <c r="L99"/>
      <c r="M99"/>
      <c r="N99"/>
      <c r="O99"/>
      <c r="P99"/>
      <c r="Q99"/>
      <c r="R99"/>
    </row>
    <row r="100" spans="5:18" s="18" customFormat="1" ht="15.75" customHeight="1">
      <c r="E100" s="21"/>
      <c r="F100" s="44"/>
      <c r="G100" s="27"/>
      <c r="J100"/>
      <c r="K100"/>
      <c r="L100"/>
      <c r="M100"/>
      <c r="N100"/>
      <c r="O100"/>
      <c r="P100"/>
      <c r="Q100"/>
      <c r="R100"/>
    </row>
    <row r="101" spans="5:18" s="18" customFormat="1" ht="15.75" customHeight="1">
      <c r="E101" s="21"/>
      <c r="F101" s="44"/>
      <c r="G101" s="27"/>
      <c r="J101"/>
      <c r="K101"/>
      <c r="L101"/>
      <c r="M101"/>
      <c r="N101"/>
      <c r="O101"/>
      <c r="P101"/>
      <c r="Q101"/>
      <c r="R101"/>
    </row>
    <row r="102" spans="5:18" s="18" customFormat="1" ht="15.75" customHeight="1">
      <c r="E102" s="21"/>
      <c r="F102" s="44"/>
      <c r="G102" s="27"/>
      <c r="J102"/>
      <c r="K102"/>
      <c r="L102"/>
      <c r="M102"/>
      <c r="N102"/>
      <c r="O102"/>
      <c r="P102"/>
      <c r="Q102"/>
      <c r="R102"/>
    </row>
    <row r="103" spans="5:18" s="18" customFormat="1" ht="15.75" customHeight="1">
      <c r="E103" s="21"/>
      <c r="F103" s="44"/>
      <c r="G103" s="27"/>
      <c r="J103"/>
      <c r="K103"/>
      <c r="L103"/>
      <c r="M103"/>
      <c r="N103"/>
      <c r="O103"/>
      <c r="P103"/>
      <c r="Q103"/>
      <c r="R103"/>
    </row>
    <row r="104" spans="5:18" s="18" customFormat="1" ht="15.75" customHeight="1">
      <c r="E104" s="21"/>
      <c r="F104" s="44"/>
      <c r="G104" s="27"/>
      <c r="J104"/>
      <c r="K104"/>
      <c r="L104"/>
      <c r="M104"/>
      <c r="N104"/>
      <c r="O104"/>
      <c r="P104"/>
      <c r="Q104"/>
      <c r="R104"/>
    </row>
    <row r="105" spans="5:18" s="18" customFormat="1" ht="15.75" customHeight="1">
      <c r="E105" s="21"/>
      <c r="F105" s="44"/>
      <c r="G105" s="27"/>
      <c r="J105"/>
      <c r="K105"/>
      <c r="L105"/>
      <c r="M105"/>
      <c r="N105"/>
      <c r="O105"/>
      <c r="P105"/>
      <c r="Q105"/>
      <c r="R105"/>
    </row>
    <row r="106" spans="5:18" s="18" customFormat="1" ht="15.75" customHeight="1">
      <c r="E106" s="21"/>
      <c r="F106" s="44"/>
      <c r="G106" s="27"/>
      <c r="J106"/>
      <c r="K106"/>
      <c r="L106"/>
      <c r="M106"/>
      <c r="N106"/>
      <c r="O106"/>
      <c r="P106"/>
      <c r="Q106"/>
      <c r="R106"/>
    </row>
    <row r="107" spans="5:18" s="18" customFormat="1" ht="15.75" customHeight="1">
      <c r="E107" s="21"/>
      <c r="F107" s="44"/>
      <c r="G107" s="27"/>
      <c r="J107"/>
      <c r="K107"/>
      <c r="L107"/>
      <c r="M107"/>
      <c r="N107"/>
      <c r="O107"/>
      <c r="P107"/>
      <c r="Q107"/>
      <c r="R107"/>
    </row>
    <row r="108" spans="5:18" s="18" customFormat="1" ht="15.75" customHeight="1">
      <c r="E108" s="21"/>
      <c r="F108" s="44"/>
      <c r="G108" s="27"/>
      <c r="J108"/>
      <c r="K108"/>
      <c r="L108"/>
      <c r="M108"/>
      <c r="N108"/>
      <c r="O108"/>
      <c r="P108"/>
      <c r="Q108"/>
      <c r="R108"/>
    </row>
    <row r="109" spans="5:18" s="18" customFormat="1" ht="15.75" customHeight="1">
      <c r="E109" s="21"/>
      <c r="F109" s="44"/>
      <c r="G109" s="27"/>
      <c r="J109"/>
      <c r="K109"/>
      <c r="L109"/>
      <c r="M109"/>
      <c r="N109"/>
      <c r="O109"/>
      <c r="P109"/>
      <c r="Q109"/>
      <c r="R109"/>
    </row>
    <row r="110" spans="5:18" s="18" customFormat="1" ht="15.75" customHeight="1">
      <c r="E110" s="21"/>
      <c r="F110" s="44"/>
      <c r="G110" s="27"/>
      <c r="J110"/>
      <c r="K110"/>
      <c r="L110"/>
      <c r="M110"/>
      <c r="N110"/>
      <c r="O110"/>
      <c r="P110"/>
      <c r="Q110"/>
      <c r="R110"/>
    </row>
    <row r="111" spans="5:18" s="18" customFormat="1" ht="15.75" customHeight="1">
      <c r="E111" s="21"/>
      <c r="F111" s="44"/>
      <c r="G111" s="27"/>
      <c r="J111"/>
      <c r="K111"/>
      <c r="L111"/>
      <c r="M111"/>
      <c r="N111"/>
      <c r="O111"/>
      <c r="P111"/>
      <c r="Q111"/>
      <c r="R111"/>
    </row>
    <row r="112" spans="5:18" s="18" customFormat="1" ht="15.75" customHeight="1">
      <c r="E112" s="21"/>
      <c r="F112" s="44"/>
      <c r="G112" s="27"/>
      <c r="J112"/>
      <c r="K112"/>
      <c r="L112"/>
      <c r="M112"/>
      <c r="N112"/>
      <c r="O112"/>
      <c r="P112"/>
      <c r="Q112"/>
      <c r="R112"/>
    </row>
    <row r="113" spans="5:18" s="18" customFormat="1" ht="15.75" customHeight="1">
      <c r="E113" s="21"/>
      <c r="F113" s="44"/>
      <c r="G113" s="27"/>
      <c r="J113"/>
      <c r="K113"/>
      <c r="L113"/>
      <c r="M113"/>
      <c r="N113"/>
      <c r="O113"/>
      <c r="P113"/>
      <c r="Q113"/>
      <c r="R113"/>
    </row>
    <row r="114" spans="5:18" s="18" customFormat="1" ht="15.75" customHeight="1">
      <c r="E114" s="21"/>
      <c r="F114" s="44"/>
      <c r="G114" s="27"/>
      <c r="J114"/>
      <c r="K114"/>
      <c r="L114"/>
      <c r="M114"/>
      <c r="N114"/>
      <c r="O114"/>
      <c r="P114"/>
      <c r="Q114"/>
      <c r="R114"/>
    </row>
    <row r="115" spans="5:18" s="18" customFormat="1" ht="15.75" customHeight="1">
      <c r="E115" s="21"/>
      <c r="F115" s="44"/>
      <c r="G115" s="27"/>
      <c r="J115"/>
      <c r="K115"/>
      <c r="L115"/>
      <c r="M115"/>
      <c r="N115"/>
      <c r="O115"/>
      <c r="P115"/>
      <c r="Q115"/>
      <c r="R115"/>
    </row>
    <row r="116" spans="5:18" s="18" customFormat="1" ht="15.75" customHeight="1">
      <c r="E116" s="21"/>
      <c r="F116" s="44"/>
      <c r="G116" s="27"/>
      <c r="J116"/>
      <c r="K116"/>
      <c r="L116"/>
      <c r="M116"/>
      <c r="N116"/>
      <c r="O116"/>
      <c r="P116"/>
      <c r="Q116"/>
      <c r="R116"/>
    </row>
    <row r="117" spans="5:18" s="18" customFormat="1" ht="15.75" customHeight="1">
      <c r="E117" s="21"/>
      <c r="F117" s="44"/>
      <c r="G117" s="27"/>
      <c r="J117"/>
      <c r="K117"/>
      <c r="L117"/>
      <c r="M117"/>
      <c r="N117"/>
      <c r="O117"/>
      <c r="P117"/>
      <c r="Q117"/>
      <c r="R117"/>
    </row>
    <row r="118" spans="5:18" s="18" customFormat="1" ht="15.75" customHeight="1">
      <c r="E118" s="21"/>
      <c r="F118" s="44"/>
      <c r="G118" s="27"/>
      <c r="J118"/>
      <c r="K118"/>
      <c r="L118"/>
      <c r="M118"/>
      <c r="N118"/>
      <c r="O118"/>
      <c r="P118"/>
      <c r="Q118"/>
      <c r="R118"/>
    </row>
    <row r="119" spans="5:18" s="18" customFormat="1" ht="15.75" customHeight="1">
      <c r="E119" s="21"/>
      <c r="F119" s="44"/>
      <c r="G119" s="27"/>
      <c r="J119"/>
      <c r="K119"/>
      <c r="L119"/>
      <c r="M119"/>
      <c r="N119"/>
      <c r="O119"/>
      <c r="P119"/>
      <c r="Q119"/>
      <c r="R119"/>
    </row>
    <row r="120" spans="5:18" s="18" customFormat="1" ht="15.75" customHeight="1">
      <c r="E120" s="21"/>
      <c r="F120" s="44"/>
      <c r="G120" s="27"/>
      <c r="J120"/>
      <c r="K120"/>
      <c r="L120"/>
      <c r="M120"/>
      <c r="N120"/>
      <c r="O120"/>
      <c r="P120"/>
      <c r="Q120"/>
      <c r="R120"/>
    </row>
    <row r="121" spans="5:18" s="18" customFormat="1" ht="15.75" customHeight="1">
      <c r="E121" s="21"/>
      <c r="F121" s="44"/>
      <c r="G121" s="27"/>
      <c r="J121"/>
      <c r="K121"/>
      <c r="L121"/>
      <c r="M121"/>
      <c r="N121"/>
      <c r="O121"/>
      <c r="P121"/>
      <c r="Q121"/>
      <c r="R121"/>
    </row>
    <row r="122" spans="5:18" s="18" customFormat="1" ht="15.75" customHeight="1">
      <c r="E122" s="21"/>
      <c r="F122" s="44"/>
      <c r="G122" s="27"/>
      <c r="J122"/>
      <c r="K122"/>
      <c r="L122"/>
      <c r="M122"/>
      <c r="N122"/>
      <c r="O122"/>
      <c r="P122"/>
      <c r="Q122"/>
      <c r="R122"/>
    </row>
    <row r="123" spans="5:18" s="18" customFormat="1" ht="15.75" customHeight="1">
      <c r="E123" s="21"/>
      <c r="F123" s="44"/>
      <c r="G123" s="27"/>
      <c r="J123"/>
      <c r="K123"/>
      <c r="L123"/>
      <c r="M123"/>
      <c r="N123"/>
      <c r="O123"/>
      <c r="P123"/>
      <c r="Q123"/>
      <c r="R123"/>
    </row>
    <row r="124" spans="5:18" s="18" customFormat="1" ht="15.75" customHeight="1">
      <c r="E124" s="21"/>
      <c r="F124" s="44"/>
      <c r="G124" s="27"/>
      <c r="J124"/>
      <c r="K124"/>
      <c r="L124"/>
      <c r="M124"/>
      <c r="N124"/>
      <c r="O124"/>
      <c r="P124"/>
      <c r="Q124"/>
      <c r="R124"/>
    </row>
    <row r="125" spans="5:18" s="18" customFormat="1" ht="15.75" customHeight="1">
      <c r="E125" s="21"/>
      <c r="F125" s="44"/>
      <c r="G125" s="27"/>
      <c r="J125"/>
      <c r="K125"/>
      <c r="L125"/>
      <c r="M125"/>
      <c r="N125"/>
      <c r="O125"/>
      <c r="P125"/>
      <c r="Q125"/>
      <c r="R125"/>
    </row>
    <row r="126" spans="5:18" s="18" customFormat="1" ht="15.75" customHeight="1">
      <c r="E126" s="21"/>
      <c r="F126" s="44"/>
      <c r="G126" s="27"/>
      <c r="J126"/>
      <c r="K126"/>
      <c r="L126"/>
      <c r="M126"/>
      <c r="N126"/>
      <c r="O126"/>
      <c r="P126"/>
      <c r="Q126"/>
      <c r="R126"/>
    </row>
    <row r="127" spans="5:18" s="18" customFormat="1" ht="15.75" customHeight="1">
      <c r="E127" s="21"/>
      <c r="F127" s="44"/>
      <c r="G127" s="27"/>
      <c r="J127"/>
      <c r="K127"/>
      <c r="L127"/>
      <c r="M127"/>
      <c r="N127"/>
      <c r="O127"/>
      <c r="P127"/>
      <c r="Q127"/>
      <c r="R127"/>
    </row>
    <row r="128" spans="5:18" s="18" customFormat="1" ht="15.75" customHeight="1">
      <c r="E128" s="21"/>
      <c r="F128" s="44"/>
      <c r="G128" s="27"/>
      <c r="J128"/>
      <c r="K128"/>
      <c r="L128"/>
      <c r="M128"/>
      <c r="N128"/>
      <c r="O128"/>
      <c r="P128"/>
      <c r="Q128"/>
      <c r="R128"/>
    </row>
    <row r="129" spans="5:18" s="18" customFormat="1" ht="15.75" customHeight="1">
      <c r="E129" s="21"/>
      <c r="F129" s="44"/>
      <c r="G129" s="27"/>
      <c r="J129"/>
      <c r="K129"/>
      <c r="L129"/>
      <c r="M129"/>
      <c r="N129"/>
      <c r="O129"/>
      <c r="P129"/>
      <c r="Q129"/>
      <c r="R129"/>
    </row>
    <row r="130" spans="5:18" s="18" customFormat="1" ht="15.75" customHeight="1">
      <c r="E130" s="21"/>
      <c r="F130" s="44"/>
      <c r="G130" s="27"/>
      <c r="J130"/>
      <c r="K130"/>
      <c r="L130"/>
      <c r="M130"/>
      <c r="N130"/>
      <c r="O130"/>
      <c r="P130"/>
      <c r="Q130"/>
      <c r="R130"/>
    </row>
    <row r="131" spans="5:18" s="18" customFormat="1" ht="15.75" customHeight="1">
      <c r="E131" s="21"/>
      <c r="F131" s="44"/>
      <c r="G131" s="27"/>
      <c r="J131"/>
      <c r="K131"/>
      <c r="L131"/>
      <c r="M131"/>
      <c r="N131"/>
      <c r="O131"/>
      <c r="P131"/>
      <c r="Q131"/>
      <c r="R131"/>
    </row>
    <row r="132" spans="5:18" s="18" customFormat="1" ht="15.75" customHeight="1">
      <c r="E132" s="21"/>
      <c r="F132" s="44"/>
      <c r="G132" s="27"/>
      <c r="J132"/>
      <c r="K132"/>
      <c r="L132"/>
      <c r="M132"/>
      <c r="N132"/>
      <c r="O132"/>
      <c r="P132"/>
      <c r="Q132"/>
      <c r="R132"/>
    </row>
    <row r="133" spans="5:18" s="18" customFormat="1" ht="15.75" customHeight="1">
      <c r="E133" s="21"/>
      <c r="F133" s="44"/>
      <c r="G133" s="27"/>
      <c r="J133"/>
      <c r="K133"/>
      <c r="L133"/>
      <c r="M133"/>
      <c r="N133"/>
      <c r="O133"/>
      <c r="P133"/>
      <c r="Q133"/>
      <c r="R133"/>
    </row>
    <row r="134" spans="5:18" s="18" customFormat="1" ht="15.75" customHeight="1">
      <c r="E134" s="21"/>
      <c r="F134" s="44"/>
      <c r="G134" s="27"/>
      <c r="J134"/>
      <c r="K134"/>
      <c r="L134"/>
      <c r="M134"/>
      <c r="N134"/>
      <c r="O134"/>
      <c r="P134"/>
      <c r="Q134"/>
      <c r="R134"/>
    </row>
    <row r="135" spans="5:18" s="18" customFormat="1" ht="15.75" customHeight="1">
      <c r="E135" s="21"/>
      <c r="F135" s="44"/>
      <c r="G135" s="27"/>
      <c r="J135"/>
      <c r="K135"/>
      <c r="L135"/>
      <c r="M135"/>
      <c r="N135"/>
      <c r="O135"/>
      <c r="P135"/>
      <c r="Q135"/>
      <c r="R135"/>
    </row>
    <row r="136" spans="5:18" s="18" customFormat="1" ht="15.75" customHeight="1">
      <c r="E136" s="21"/>
      <c r="F136" s="44"/>
      <c r="G136" s="27"/>
      <c r="J136"/>
      <c r="K136"/>
      <c r="L136"/>
      <c r="M136"/>
      <c r="N136"/>
      <c r="O136"/>
      <c r="P136"/>
      <c r="Q136"/>
      <c r="R136"/>
    </row>
    <row r="137" spans="5:18" s="18" customFormat="1" ht="15.75" customHeight="1">
      <c r="E137" s="21"/>
      <c r="F137" s="44"/>
      <c r="G137" s="27"/>
      <c r="J137"/>
      <c r="K137"/>
      <c r="L137"/>
      <c r="M137"/>
      <c r="N137"/>
      <c r="O137"/>
      <c r="P137"/>
      <c r="Q137"/>
      <c r="R137"/>
    </row>
    <row r="138" spans="5:18" s="18" customFormat="1" ht="15.75" customHeight="1">
      <c r="E138" s="21"/>
      <c r="F138" s="44"/>
      <c r="G138" s="27"/>
      <c r="J138"/>
      <c r="K138"/>
      <c r="L138"/>
      <c r="M138"/>
      <c r="N138"/>
      <c r="O138"/>
      <c r="P138"/>
      <c r="Q138"/>
      <c r="R138"/>
    </row>
    <row r="139" spans="5:18" s="18" customFormat="1" ht="15.75" customHeight="1">
      <c r="E139" s="21"/>
      <c r="F139" s="44"/>
      <c r="G139" s="27"/>
      <c r="J139"/>
      <c r="K139"/>
      <c r="L139"/>
      <c r="M139"/>
      <c r="N139"/>
      <c r="O139"/>
      <c r="P139"/>
      <c r="Q139"/>
      <c r="R139"/>
    </row>
    <row r="140" spans="5:18" s="18" customFormat="1" ht="15.75" customHeight="1">
      <c r="E140" s="21"/>
      <c r="F140" s="44"/>
      <c r="G140" s="27"/>
      <c r="J140"/>
      <c r="K140"/>
      <c r="L140"/>
      <c r="M140"/>
      <c r="N140"/>
      <c r="O140"/>
      <c r="P140"/>
      <c r="Q140"/>
      <c r="R140"/>
    </row>
    <row r="141" spans="5:18" s="18" customFormat="1" ht="15.75" customHeight="1">
      <c r="E141" s="21"/>
      <c r="F141" s="44"/>
      <c r="G141" s="27"/>
      <c r="J141"/>
      <c r="K141"/>
      <c r="L141"/>
      <c r="M141"/>
      <c r="N141"/>
      <c r="O141"/>
      <c r="P141"/>
      <c r="Q141"/>
      <c r="R141"/>
    </row>
    <row r="142" spans="5:18" s="18" customFormat="1" ht="15.75" customHeight="1">
      <c r="E142" s="21"/>
      <c r="F142" s="44"/>
      <c r="G142" s="27"/>
      <c r="J142"/>
      <c r="K142"/>
      <c r="L142"/>
      <c r="M142"/>
      <c r="N142"/>
      <c r="O142"/>
      <c r="P142"/>
      <c r="Q142"/>
      <c r="R142"/>
    </row>
    <row r="143" spans="5:18" s="18" customFormat="1" ht="15.75" customHeight="1">
      <c r="E143" s="21"/>
      <c r="F143" s="44"/>
      <c r="G143" s="27"/>
      <c r="J143"/>
      <c r="K143"/>
      <c r="L143"/>
      <c r="M143"/>
      <c r="N143"/>
      <c r="O143"/>
      <c r="P143"/>
      <c r="Q143"/>
      <c r="R143"/>
    </row>
    <row r="144" spans="5:18" s="18" customFormat="1" ht="15.75" customHeight="1">
      <c r="E144" s="21"/>
      <c r="F144" s="44"/>
      <c r="G144" s="27"/>
      <c r="J144"/>
      <c r="K144"/>
      <c r="L144"/>
      <c r="M144"/>
      <c r="N144"/>
      <c r="O144"/>
      <c r="P144"/>
      <c r="Q144"/>
      <c r="R144"/>
    </row>
    <row r="145" spans="5:18" s="18" customFormat="1" ht="15.75" customHeight="1">
      <c r="E145" s="21"/>
      <c r="F145" s="44"/>
      <c r="G145" s="27"/>
      <c r="J145"/>
      <c r="K145"/>
      <c r="L145"/>
      <c r="M145"/>
      <c r="N145"/>
      <c r="O145"/>
      <c r="P145"/>
      <c r="Q145"/>
      <c r="R145"/>
    </row>
    <row r="146" spans="5:18" s="18" customFormat="1" ht="15.75" customHeight="1">
      <c r="E146" s="21"/>
      <c r="F146" s="44"/>
      <c r="G146" s="27"/>
      <c r="J146"/>
      <c r="K146"/>
      <c r="L146"/>
      <c r="M146"/>
      <c r="N146"/>
      <c r="O146"/>
      <c r="P146"/>
      <c r="Q146"/>
      <c r="R146"/>
    </row>
    <row r="147" spans="5:18" s="18" customFormat="1" ht="15.75" customHeight="1">
      <c r="E147" s="21"/>
      <c r="F147" s="44"/>
      <c r="G147" s="27"/>
      <c r="J147"/>
      <c r="K147"/>
      <c r="L147"/>
      <c r="M147"/>
      <c r="N147"/>
      <c r="O147"/>
      <c r="P147"/>
      <c r="Q147"/>
      <c r="R147"/>
    </row>
    <row r="148" spans="5:18" s="18" customFormat="1" ht="15.75" customHeight="1">
      <c r="E148" s="21"/>
      <c r="F148" s="44"/>
      <c r="G148" s="27"/>
      <c r="J148"/>
      <c r="K148"/>
      <c r="L148"/>
      <c r="M148"/>
      <c r="N148"/>
      <c r="O148"/>
      <c r="P148"/>
      <c r="Q148"/>
      <c r="R148"/>
    </row>
    <row r="149" spans="5:18" s="18" customFormat="1" ht="15.75" customHeight="1">
      <c r="E149" s="21"/>
      <c r="F149" s="44"/>
      <c r="G149" s="27"/>
      <c r="J149"/>
      <c r="K149"/>
      <c r="L149"/>
      <c r="M149"/>
      <c r="N149"/>
      <c r="O149"/>
      <c r="P149"/>
      <c r="Q149"/>
      <c r="R149"/>
    </row>
    <row r="150" spans="5:18" s="18" customFormat="1" ht="15.75" customHeight="1">
      <c r="E150" s="21"/>
      <c r="F150" s="44"/>
      <c r="G150" s="27"/>
      <c r="J150"/>
      <c r="K150"/>
      <c r="L150"/>
      <c r="M150"/>
      <c r="N150"/>
      <c r="O150"/>
      <c r="P150"/>
      <c r="Q150"/>
      <c r="R150"/>
    </row>
  </sheetData>
  <autoFilter ref="A8:P23" xr:uid="{00000000-0009-0000-0000-000000000000}"/>
  <mergeCells count="46">
    <mergeCell ref="B1:D1"/>
    <mergeCell ref="E1:I1"/>
    <mergeCell ref="N1:P1"/>
    <mergeCell ref="E2:E6"/>
    <mergeCell ref="F2:G2"/>
    <mergeCell ref="J2:L6"/>
    <mergeCell ref="M2:M6"/>
    <mergeCell ref="N2:N6"/>
    <mergeCell ref="O2:P6"/>
    <mergeCell ref="F6:I6"/>
    <mergeCell ref="Q2:Q5"/>
    <mergeCell ref="R2:R5"/>
    <mergeCell ref="C3:C5"/>
    <mergeCell ref="D3:D5"/>
    <mergeCell ref="F3:G3"/>
    <mergeCell ref="F4:G4"/>
    <mergeCell ref="F5:G5"/>
    <mergeCell ref="B7:D7"/>
    <mergeCell ref="E7:I7"/>
    <mergeCell ref="J7:L7"/>
    <mergeCell ref="N7:P7"/>
    <mergeCell ref="E8:F8"/>
    <mergeCell ref="N8:O8"/>
    <mergeCell ref="N10:O10"/>
    <mergeCell ref="N24:O24"/>
    <mergeCell ref="E15:F15"/>
    <mergeCell ref="E20:F20"/>
    <mergeCell ref="E21:F21"/>
    <mergeCell ref="N21:O21"/>
    <mergeCell ref="E22:F22"/>
    <mergeCell ref="N22:O22"/>
    <mergeCell ref="E23:F23"/>
    <mergeCell ref="N23:O23"/>
    <mergeCell ref="E16:F16"/>
    <mergeCell ref="E17:F17"/>
    <mergeCell ref="N17:O17"/>
    <mergeCell ref="E18:F18"/>
    <mergeCell ref="E19:F19"/>
    <mergeCell ref="E9:F9"/>
    <mergeCell ref="E11:F11"/>
    <mergeCell ref="E24:F24"/>
    <mergeCell ref="G24:H24"/>
    <mergeCell ref="E12:F12"/>
    <mergeCell ref="E13:F13"/>
    <mergeCell ref="E14:F14"/>
    <mergeCell ref="E10:F10"/>
  </mergeCells>
  <conditionalFormatting sqref="A22:A23">
    <cfRule type="expression" dxfId="98" priority="18">
      <formula>M22 = "On Hold"</formula>
    </cfRule>
  </conditionalFormatting>
  <conditionalFormatting sqref="B2:B5 J10:P23">
    <cfRule type="cellIs" dxfId="97" priority="16" operator="equal">
      <formula>"Done"</formula>
    </cfRule>
    <cfRule type="cellIs" dxfId="96" priority="17" operator="equal">
      <formula>"On Hold"</formula>
    </cfRule>
    <cfRule type="cellIs" dxfId="95" priority="19" operator="equal">
      <formula>"Ready for Review"</formula>
    </cfRule>
    <cfRule type="cellIs" dxfId="94" priority="20" operator="equal">
      <formula>"In Review"</formula>
    </cfRule>
  </conditionalFormatting>
  <dataValidations count="7">
    <dataValidation type="list" allowBlank="1" sqref="B17:B23 B10:B15" xr:uid="{2C1E04F0-FEFE-4F68-B867-67ED8D0A5E6F}">
      <formula1>Data_Types</formula1>
    </dataValidation>
    <dataValidation type="list" allowBlank="1" sqref="B3 M10:M23" xr:uid="{5AE30192-73A4-4208-A293-09B4D2C405BC}">
      <formula1>Statuses</formula1>
    </dataValidation>
    <dataValidation type="list" allowBlank="1" sqref="B4:B5" xr:uid="{EAF5BE57-B6C7-40C3-9DED-016DE66D1A7F}">
      <formula1>ETL_Statuses</formula1>
    </dataValidation>
    <dataValidation type="list" allowBlank="1" showErrorMessage="1" sqref="B2" xr:uid="{083E10C2-C478-41BD-BB54-AD2DD3B86F05}">
      <formula1>STT_Statuses</formula1>
    </dataValidation>
    <dataValidation type="list" allowBlank="1" sqref="P10:P23" xr:uid="{DC91D158-56B3-42E9-9742-B8A65BAB7C14}">
      <formula1>Versions</formula1>
    </dataValidation>
    <dataValidation type="list" allowBlank="1" sqref="N10:N23" xr:uid="{DF8A2FE0-70FF-4B48-82EA-A2AAD5F7A7E8}">
      <formula1>Categories</formula1>
    </dataValidation>
    <dataValidation type="list" allowBlank="1" sqref="E9:E23" xr:uid="{4EC783ED-FAE9-49CC-AEC8-BD65E19DA33B}">
      <formula1>Sources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15FF4-8520-4A29-85B0-410EEA47AA59}">
  <sheetPr>
    <tabColor theme="4" tint="0.59999389629810485"/>
    <outlinePr summaryBelow="0" summaryRight="0"/>
  </sheetPr>
  <dimension ref="A1:R167"/>
  <sheetViews>
    <sheetView zoomScale="90" zoomScaleNormal="90" workbookViewId="0">
      <pane xSplit="1" ySplit="8" topLeftCell="B11" activePane="bottomRight" state="frozen"/>
      <selection pane="bottomRight" activeCell="A27" sqref="A27"/>
      <selection pane="bottomLeft" activeCell="A9" sqref="A9"/>
      <selection pane="topRight" activeCell="B1" sqref="B1"/>
    </sheetView>
  </sheetViews>
  <sheetFormatPr defaultColWidth="12.7109375" defaultRowHeight="15" customHeight="1" outlineLevelRow="1" outlineLevelCol="1"/>
  <cols>
    <col min="1" max="1" width="36.7109375" style="18" customWidth="1"/>
    <col min="2" max="2" width="11.85546875" style="18" customWidth="1" outlineLevel="1"/>
    <col min="3" max="3" width="7" style="18" customWidth="1" outlineLevel="1"/>
    <col min="4" max="4" width="28" style="18" customWidth="1" outlineLevel="1"/>
    <col min="5" max="5" width="2.28515625" style="21" customWidth="1"/>
    <col min="6" max="6" width="12.7109375" style="44" customWidth="1" outlineLevel="1"/>
    <col min="7" max="7" width="43.7109375" style="27" customWidth="1" outlineLevel="1"/>
    <col min="8" max="8" width="30.7109375" style="18" customWidth="1" outlineLevel="1"/>
    <col min="9" max="9" width="33.140625" style="18" customWidth="1" outlineLevel="1"/>
    <col min="10" max="10" width="5.85546875" hidden="1" customWidth="1" outlineLevel="1"/>
    <col min="11" max="11" width="5" hidden="1" customWidth="1" outlineLevel="1"/>
    <col min="12" max="12" width="11.7109375" hidden="1" customWidth="1" outlineLevel="1"/>
    <col min="13" max="13" width="2.28515625" customWidth="1"/>
    <col min="14" max="14" width="2.28515625" customWidth="1" collapsed="1"/>
    <col min="15" max="15" width="10.7109375" hidden="1" customWidth="1" outlineLevel="1"/>
    <col min="16" max="16" width="11" hidden="1" customWidth="1" outlineLevel="1"/>
    <col min="17" max="18" width="47.7109375" customWidth="1"/>
  </cols>
  <sheetData>
    <row r="1" spans="1:18" ht="5.25" customHeight="1" outlineLevel="1">
      <c r="A1" s="28"/>
      <c r="B1" s="109"/>
      <c r="C1" s="106"/>
      <c r="D1" s="106"/>
      <c r="E1" s="110"/>
      <c r="F1" s="106"/>
      <c r="G1" s="106"/>
      <c r="H1" s="106"/>
      <c r="I1" s="106"/>
      <c r="J1" s="2"/>
      <c r="K1" s="2"/>
      <c r="L1" s="2"/>
      <c r="M1" s="2"/>
      <c r="N1" s="111"/>
      <c r="O1" s="124"/>
      <c r="P1" s="124"/>
    </row>
    <row r="2" spans="1:18" ht="15.75" customHeight="1" outlineLevel="1">
      <c r="A2" s="29" t="s">
        <v>0</v>
      </c>
      <c r="B2" s="29" t="s">
        <v>1</v>
      </c>
      <c r="C2" s="30"/>
      <c r="D2" s="31" t="s">
        <v>2</v>
      </c>
      <c r="E2" s="112" t="s">
        <v>3</v>
      </c>
      <c r="F2" s="115" t="s">
        <v>4</v>
      </c>
      <c r="G2" s="116"/>
      <c r="H2" s="19" t="s">
        <v>5</v>
      </c>
      <c r="I2" s="20"/>
      <c r="J2" s="117"/>
      <c r="K2" s="125"/>
      <c r="L2" s="126"/>
      <c r="M2" s="118" t="s">
        <v>6</v>
      </c>
      <c r="N2" s="119" t="s">
        <v>7</v>
      </c>
      <c r="O2" s="120"/>
      <c r="P2" s="126"/>
      <c r="Q2" s="127" t="s">
        <v>8</v>
      </c>
      <c r="R2" s="128" t="s">
        <v>9</v>
      </c>
    </row>
    <row r="3" spans="1:18" ht="15.75" customHeight="1" outlineLevel="1">
      <c r="A3" s="29" t="s">
        <v>10</v>
      </c>
      <c r="B3" s="29"/>
      <c r="C3" s="108"/>
      <c r="D3" s="121" t="s">
        <v>126</v>
      </c>
      <c r="E3" s="113"/>
      <c r="F3" s="103" t="s">
        <v>127</v>
      </c>
      <c r="G3" s="104"/>
      <c r="H3" s="19" t="s">
        <v>13</v>
      </c>
      <c r="I3" s="20"/>
      <c r="J3" s="129"/>
      <c r="K3" s="128"/>
      <c r="L3" s="130"/>
      <c r="M3" s="131"/>
      <c r="N3" s="131"/>
      <c r="O3" s="129"/>
      <c r="P3" s="130"/>
      <c r="Q3" s="127"/>
      <c r="R3" s="128"/>
    </row>
    <row r="4" spans="1:18" ht="15.75" customHeight="1" outlineLevel="1">
      <c r="A4" s="29" t="s">
        <v>14</v>
      </c>
      <c r="B4" s="29"/>
      <c r="C4" s="108"/>
      <c r="D4" s="113"/>
      <c r="E4" s="113"/>
      <c r="F4" s="115" t="s">
        <v>15</v>
      </c>
      <c r="G4" s="116"/>
      <c r="H4" s="19" t="s">
        <v>16</v>
      </c>
      <c r="I4" s="20"/>
      <c r="J4" s="129"/>
      <c r="K4" s="128"/>
      <c r="L4" s="130"/>
      <c r="M4" s="131"/>
      <c r="N4" s="131"/>
      <c r="O4" s="129"/>
      <c r="P4" s="130"/>
      <c r="Q4" s="127"/>
      <c r="R4" s="128"/>
    </row>
    <row r="5" spans="1:18" ht="15.75" customHeight="1" outlineLevel="1">
      <c r="A5" s="29" t="s">
        <v>17</v>
      </c>
      <c r="B5" s="29"/>
      <c r="C5" s="108"/>
      <c r="D5" s="114"/>
      <c r="E5" s="113"/>
      <c r="F5" s="103" t="s">
        <v>18</v>
      </c>
      <c r="G5" s="104"/>
      <c r="H5" s="19" t="s">
        <v>19</v>
      </c>
      <c r="I5" s="20"/>
      <c r="J5" s="129"/>
      <c r="K5" s="128"/>
      <c r="L5" s="130"/>
      <c r="M5" s="131"/>
      <c r="N5" s="131"/>
      <c r="O5" s="129"/>
      <c r="P5" s="130"/>
      <c r="Q5" s="132"/>
      <c r="R5" s="133"/>
    </row>
    <row r="6" spans="1:18" ht="15.75" customHeight="1" outlineLevel="1">
      <c r="A6" s="21"/>
      <c r="B6" s="21"/>
      <c r="C6" s="32" t="e" vm="1">
        <v>#VALUE!</v>
      </c>
      <c r="D6" s="21"/>
      <c r="E6" s="114"/>
      <c r="F6" s="108"/>
      <c r="G6" s="108"/>
      <c r="H6" s="108"/>
      <c r="I6" s="108"/>
      <c r="J6" s="134"/>
      <c r="K6" s="135"/>
      <c r="L6" s="136"/>
      <c r="M6" s="137"/>
      <c r="N6" s="137"/>
      <c r="O6" s="134"/>
      <c r="P6" s="136"/>
      <c r="Q6" s="10" t="s">
        <v>20</v>
      </c>
      <c r="R6" s="10" t="s">
        <v>20</v>
      </c>
    </row>
    <row r="7" spans="1:18" ht="15.75" customHeight="1">
      <c r="A7" s="33" t="s">
        <v>21</v>
      </c>
      <c r="B7" s="98" t="s">
        <v>21</v>
      </c>
      <c r="C7" s="99"/>
      <c r="D7" s="99"/>
      <c r="E7" s="100" t="s">
        <v>22</v>
      </c>
      <c r="F7" s="99"/>
      <c r="G7" s="99"/>
      <c r="H7" s="99"/>
      <c r="I7" s="101"/>
      <c r="J7" s="138"/>
      <c r="K7" s="138"/>
      <c r="L7" s="139"/>
      <c r="M7" s="53" t="s">
        <v>23</v>
      </c>
      <c r="N7" s="102" t="s">
        <v>24</v>
      </c>
      <c r="O7" s="138"/>
      <c r="P7" s="139"/>
      <c r="Q7" s="62" t="s">
        <v>128</v>
      </c>
      <c r="R7" s="11"/>
    </row>
    <row r="8" spans="1:18" ht="15.75" customHeight="1">
      <c r="A8" s="34" t="s">
        <v>26</v>
      </c>
      <c r="B8" s="34" t="s">
        <v>27</v>
      </c>
      <c r="C8" s="34" t="s">
        <v>28</v>
      </c>
      <c r="D8" s="35" t="s">
        <v>29</v>
      </c>
      <c r="E8" s="94" t="s">
        <v>30</v>
      </c>
      <c r="F8" s="101"/>
      <c r="G8" s="17" t="s">
        <v>31</v>
      </c>
      <c r="H8" s="22" t="s">
        <v>32</v>
      </c>
      <c r="I8" s="23" t="s">
        <v>33</v>
      </c>
      <c r="J8" s="50"/>
      <c r="K8" s="12" t="s">
        <v>31</v>
      </c>
      <c r="L8" s="12" t="s">
        <v>26</v>
      </c>
      <c r="M8" s="52" t="s">
        <v>34</v>
      </c>
      <c r="N8" s="140" t="s">
        <v>35</v>
      </c>
      <c r="O8" s="139"/>
      <c r="P8" s="13" t="s">
        <v>36</v>
      </c>
      <c r="Q8" s="14" t="str">
        <f>"("</f>
        <v>(</v>
      </c>
      <c r="R8" s="14" t="str">
        <f>"("</f>
        <v>(</v>
      </c>
    </row>
    <row r="9" spans="1:18" ht="15.75" customHeight="1" outlineLevel="1">
      <c r="A9" s="66" t="s">
        <v>129</v>
      </c>
      <c r="B9" s="34" t="s">
        <v>38</v>
      </c>
      <c r="C9" s="36" t="e" vm="1">
        <v>#VALUE!</v>
      </c>
      <c r="D9" s="34" t="s">
        <v>130</v>
      </c>
      <c r="E9" s="94" t="s">
        <v>40</v>
      </c>
      <c r="F9" s="95"/>
      <c r="G9" s="17" t="s">
        <v>60</v>
      </c>
      <c r="H9" s="23" t="s">
        <v>129</v>
      </c>
      <c r="I9" s="23"/>
      <c r="J9" s="41"/>
      <c r="K9" s="12"/>
      <c r="L9" s="12"/>
      <c r="M9" s="49"/>
      <c r="N9" s="140" t="s">
        <v>42</v>
      </c>
      <c r="O9" s="141"/>
      <c r="P9" s="13" t="s">
        <v>43</v>
      </c>
      <c r="Q9" s="14"/>
      <c r="R9" s="14"/>
    </row>
    <row r="10" spans="1:18" ht="15.75" customHeight="1" outlineLevel="1">
      <c r="A10" s="66" t="s">
        <v>131</v>
      </c>
      <c r="B10" s="34" t="s">
        <v>50</v>
      </c>
      <c r="C10" s="36"/>
      <c r="D10" s="34" t="s">
        <v>132</v>
      </c>
      <c r="E10" s="94" t="s">
        <v>40</v>
      </c>
      <c r="F10" s="95"/>
      <c r="G10" s="17" t="s">
        <v>60</v>
      </c>
      <c r="H10" s="23" t="s">
        <v>131</v>
      </c>
      <c r="I10" s="23"/>
      <c r="J10" s="41"/>
      <c r="K10" s="12"/>
      <c r="L10" s="12"/>
      <c r="M10" s="49"/>
      <c r="N10" s="140"/>
      <c r="O10" s="141"/>
      <c r="P10" s="13"/>
      <c r="Q10" s="14"/>
      <c r="R10" s="14"/>
    </row>
    <row r="11" spans="1:18" ht="15.75" customHeight="1" outlineLevel="1">
      <c r="A11" s="66" t="s">
        <v>133</v>
      </c>
      <c r="B11" s="34" t="s">
        <v>38</v>
      </c>
      <c r="C11" s="36"/>
      <c r="D11" s="34" t="s">
        <v>134</v>
      </c>
      <c r="E11" s="94" t="s">
        <v>135</v>
      </c>
      <c r="F11" s="95"/>
      <c r="G11" s="17"/>
      <c r="H11" s="23"/>
      <c r="I11" s="23" t="s">
        <v>136</v>
      </c>
      <c r="J11" s="41"/>
      <c r="K11" s="12"/>
      <c r="L11" s="12"/>
      <c r="M11" s="49"/>
      <c r="N11" s="140"/>
      <c r="O11" s="141"/>
      <c r="P11" s="13"/>
      <c r="Q11" s="14"/>
      <c r="R11" s="14"/>
    </row>
    <row r="12" spans="1:18" ht="15.75" customHeight="1" outlineLevel="1">
      <c r="A12" s="66" t="s">
        <v>104</v>
      </c>
      <c r="B12" s="34" t="s">
        <v>50</v>
      </c>
      <c r="C12" s="36" t="e" vm="1">
        <v>#VALUE!</v>
      </c>
      <c r="D12" s="34" t="s">
        <v>105</v>
      </c>
      <c r="E12" s="94" t="s">
        <v>40</v>
      </c>
      <c r="F12" s="95"/>
      <c r="G12" s="17" t="s">
        <v>106</v>
      </c>
      <c r="H12" s="23" t="s">
        <v>104</v>
      </c>
      <c r="I12" s="23"/>
      <c r="J12" s="41"/>
      <c r="K12" s="12"/>
      <c r="L12" s="12"/>
      <c r="M12" s="49"/>
      <c r="N12" s="42"/>
      <c r="O12" s="43"/>
      <c r="P12" s="13"/>
      <c r="Q12" s="14"/>
      <c r="R12" s="14"/>
    </row>
    <row r="13" spans="1:18" ht="15.75" customHeight="1" outlineLevel="1">
      <c r="A13" s="66" t="s">
        <v>107</v>
      </c>
      <c r="B13" s="34" t="s">
        <v>38</v>
      </c>
      <c r="C13" s="36"/>
      <c r="D13" s="34" t="s">
        <v>108</v>
      </c>
      <c r="E13" s="94" t="s">
        <v>40</v>
      </c>
      <c r="F13" s="95"/>
      <c r="G13" s="17" t="s">
        <v>106</v>
      </c>
      <c r="H13" s="23" t="s">
        <v>107</v>
      </c>
      <c r="I13" s="23"/>
      <c r="J13" s="41"/>
      <c r="K13" s="12"/>
      <c r="L13" s="12"/>
      <c r="M13" s="49"/>
      <c r="N13" s="42"/>
      <c r="O13" s="43"/>
      <c r="P13" s="13"/>
      <c r="Q13" s="14"/>
      <c r="R13" s="14"/>
    </row>
    <row r="14" spans="1:18" ht="15.75" customHeight="1" outlineLevel="1">
      <c r="A14" s="66" t="s">
        <v>99</v>
      </c>
      <c r="B14" s="34" t="s">
        <v>50</v>
      </c>
      <c r="C14" s="36" t="e" vm="1">
        <v>#VALUE!</v>
      </c>
      <c r="D14" s="34" t="s">
        <v>100</v>
      </c>
      <c r="E14" s="94" t="s">
        <v>40</v>
      </c>
      <c r="F14" s="95"/>
      <c r="G14" s="17" t="s">
        <v>137</v>
      </c>
      <c r="H14" s="23" t="s">
        <v>99</v>
      </c>
      <c r="I14" s="23"/>
      <c r="J14" s="41"/>
      <c r="K14" s="12"/>
      <c r="L14" s="12"/>
      <c r="M14" s="49"/>
      <c r="N14" s="42"/>
      <c r="O14" s="43"/>
      <c r="P14" s="13"/>
      <c r="Q14" s="14"/>
      <c r="R14" s="14"/>
    </row>
    <row r="15" spans="1:18" ht="15.75" customHeight="1" outlineLevel="1">
      <c r="A15" s="66" t="s">
        <v>102</v>
      </c>
      <c r="B15" s="34" t="s">
        <v>38</v>
      </c>
      <c r="C15" s="36"/>
      <c r="D15" s="34" t="s">
        <v>103</v>
      </c>
      <c r="E15" s="94" t="s">
        <v>40</v>
      </c>
      <c r="F15" s="95"/>
      <c r="G15" s="17" t="s">
        <v>137</v>
      </c>
      <c r="H15" s="23" t="s">
        <v>102</v>
      </c>
      <c r="I15" s="23"/>
      <c r="J15" s="41"/>
      <c r="K15" s="12"/>
      <c r="L15" s="12"/>
      <c r="M15" s="49"/>
      <c r="N15" s="42"/>
      <c r="O15" s="43"/>
      <c r="P15" s="13"/>
      <c r="Q15" s="14"/>
      <c r="R15" s="14"/>
    </row>
    <row r="16" spans="1:18" ht="15.75" customHeight="1" outlineLevel="1">
      <c r="A16" s="66" t="s">
        <v>138</v>
      </c>
      <c r="B16" s="34" t="s">
        <v>50</v>
      </c>
      <c r="C16" s="36"/>
      <c r="D16" s="34" t="s">
        <v>139</v>
      </c>
      <c r="E16" s="94" t="s">
        <v>40</v>
      </c>
      <c r="F16" s="95"/>
      <c r="G16" s="17" t="s">
        <v>60</v>
      </c>
      <c r="H16" s="23" t="s">
        <v>138</v>
      </c>
      <c r="I16" s="23"/>
      <c r="J16" s="41"/>
      <c r="K16" s="12"/>
      <c r="L16" s="12"/>
      <c r="M16" s="49"/>
      <c r="N16" s="140"/>
      <c r="O16" s="141"/>
      <c r="P16" s="13"/>
      <c r="Q16" s="14"/>
      <c r="R16" s="14"/>
    </row>
    <row r="17" spans="1:18" ht="15.75" customHeight="1" outlineLevel="1">
      <c r="A17" s="66" t="s">
        <v>61</v>
      </c>
      <c r="B17" s="34" t="s">
        <v>38</v>
      </c>
      <c r="C17" s="36"/>
      <c r="D17" s="16" t="s">
        <v>140</v>
      </c>
      <c r="E17" s="94" t="s">
        <v>40</v>
      </c>
      <c r="F17" s="95"/>
      <c r="G17" s="17" t="s">
        <v>60</v>
      </c>
      <c r="H17" s="23" t="s">
        <v>61</v>
      </c>
      <c r="I17" s="23"/>
      <c r="J17" s="41"/>
      <c r="K17" s="12"/>
      <c r="L17" s="12"/>
      <c r="M17" s="49"/>
      <c r="N17" s="140"/>
      <c r="O17" s="141"/>
      <c r="P17" s="13"/>
      <c r="Q17" s="14"/>
      <c r="R17" s="14"/>
    </row>
    <row r="18" spans="1:18" ht="15.75" customHeight="1" outlineLevel="1">
      <c r="A18" s="66" t="s">
        <v>141</v>
      </c>
      <c r="B18" s="34" t="s">
        <v>72</v>
      </c>
      <c r="C18" s="36"/>
      <c r="D18" s="16" t="s">
        <v>142</v>
      </c>
      <c r="E18" s="94" t="s">
        <v>40</v>
      </c>
      <c r="F18" s="95"/>
      <c r="G18" s="17" t="s">
        <v>60</v>
      </c>
      <c r="H18" s="23" t="s">
        <v>141</v>
      </c>
      <c r="I18" s="23"/>
      <c r="J18" s="41"/>
      <c r="K18" s="12"/>
      <c r="L18" s="12"/>
      <c r="M18" s="49"/>
      <c r="N18" s="42"/>
      <c r="O18" s="43"/>
      <c r="P18" s="13"/>
      <c r="Q18" s="14"/>
      <c r="R18" s="14"/>
    </row>
    <row r="19" spans="1:18" ht="15.75" customHeight="1" outlineLevel="1">
      <c r="A19" s="66" t="s">
        <v>143</v>
      </c>
      <c r="B19" s="34" t="s">
        <v>38</v>
      </c>
      <c r="C19" s="36" t="e" vm="1">
        <v>#VALUE!</v>
      </c>
      <c r="D19" s="16" t="s">
        <v>144</v>
      </c>
      <c r="E19" s="94" t="s">
        <v>40</v>
      </c>
      <c r="F19" s="95"/>
      <c r="G19" s="17" t="s">
        <v>60</v>
      </c>
      <c r="H19" s="23" t="s">
        <v>143</v>
      </c>
      <c r="I19" s="23"/>
      <c r="J19" s="41"/>
      <c r="K19" s="12"/>
      <c r="L19" s="12"/>
      <c r="M19" s="49"/>
      <c r="N19" s="42"/>
      <c r="O19" s="43"/>
      <c r="P19" s="13"/>
      <c r="Q19" s="14"/>
      <c r="R19" s="14"/>
    </row>
    <row r="20" spans="1:18" ht="15.75" customHeight="1" outlineLevel="1">
      <c r="A20" s="66" t="s">
        <v>145</v>
      </c>
      <c r="B20" s="34" t="s">
        <v>38</v>
      </c>
      <c r="C20" s="36"/>
      <c r="D20" s="16" t="s">
        <v>146</v>
      </c>
      <c r="E20" s="94" t="s">
        <v>40</v>
      </c>
      <c r="F20" s="95"/>
      <c r="G20" s="17" t="s">
        <v>147</v>
      </c>
      <c r="H20" s="23" t="s">
        <v>145</v>
      </c>
      <c r="I20" s="23"/>
      <c r="J20" s="41"/>
      <c r="K20" s="12"/>
      <c r="L20" s="12"/>
      <c r="M20" s="49"/>
      <c r="N20" s="42"/>
      <c r="O20" s="43"/>
      <c r="P20" s="13"/>
      <c r="Q20" s="14"/>
      <c r="R20" s="14"/>
    </row>
    <row r="21" spans="1:18" ht="15.75" customHeight="1" outlineLevel="1">
      <c r="A21" s="66" t="s">
        <v>148</v>
      </c>
      <c r="B21" s="34" t="s">
        <v>38</v>
      </c>
      <c r="C21" s="36"/>
      <c r="D21" s="16" t="s">
        <v>149</v>
      </c>
      <c r="E21" s="94" t="s">
        <v>40</v>
      </c>
      <c r="F21" s="95"/>
      <c r="G21" s="17" t="s">
        <v>150</v>
      </c>
      <c r="H21" s="23" t="s">
        <v>148</v>
      </c>
      <c r="I21" s="23"/>
      <c r="J21" s="41"/>
      <c r="K21" s="12"/>
      <c r="L21" s="12"/>
      <c r="M21" s="49"/>
      <c r="N21" s="42"/>
      <c r="O21" s="43"/>
      <c r="P21" s="13"/>
      <c r="Q21" s="14"/>
      <c r="R21" s="14"/>
    </row>
    <row r="22" spans="1:18" ht="15.75" customHeight="1" outlineLevel="1">
      <c r="A22" s="66" t="s">
        <v>151</v>
      </c>
      <c r="B22" s="34" t="s">
        <v>50</v>
      </c>
      <c r="C22" s="36"/>
      <c r="D22" s="16" t="s">
        <v>152</v>
      </c>
      <c r="E22" s="94" t="s">
        <v>135</v>
      </c>
      <c r="F22" s="95"/>
      <c r="G22" s="17" t="s">
        <v>153</v>
      </c>
      <c r="H22" s="23"/>
      <c r="I22" s="23" t="s">
        <v>154</v>
      </c>
      <c r="J22" s="41"/>
      <c r="K22" s="12"/>
      <c r="L22" s="12"/>
      <c r="M22" s="49"/>
      <c r="N22" s="42"/>
      <c r="O22" s="43"/>
      <c r="P22" s="13"/>
      <c r="Q22" s="14"/>
      <c r="R22" s="14"/>
    </row>
    <row r="23" spans="1:18" ht="15.75" customHeight="1" outlineLevel="1">
      <c r="A23" s="66" t="s">
        <v>58</v>
      </c>
      <c r="B23" s="63" t="s">
        <v>38</v>
      </c>
      <c r="C23" s="64"/>
      <c r="D23" s="63" t="s">
        <v>155</v>
      </c>
      <c r="E23" s="94" t="s">
        <v>40</v>
      </c>
      <c r="F23" s="95"/>
      <c r="G23" s="17" t="s">
        <v>60</v>
      </c>
      <c r="H23" s="23" t="s">
        <v>58</v>
      </c>
      <c r="I23" s="23"/>
      <c r="J23" s="41"/>
      <c r="K23" s="12"/>
      <c r="L23" s="12"/>
      <c r="M23" s="49"/>
      <c r="N23" s="42"/>
      <c r="O23" s="43"/>
      <c r="P23" s="13"/>
      <c r="Q23" s="14"/>
      <c r="R23" s="14"/>
    </row>
    <row r="24" spans="1:18" ht="15.75" customHeight="1" outlineLevel="1">
      <c r="A24" s="66" t="s">
        <v>156</v>
      </c>
      <c r="B24" s="63" t="s">
        <v>38</v>
      </c>
      <c r="C24" s="64"/>
      <c r="D24" s="63" t="s">
        <v>157</v>
      </c>
      <c r="E24" s="94" t="s">
        <v>40</v>
      </c>
      <c r="F24" s="95"/>
      <c r="G24" s="17" t="s">
        <v>60</v>
      </c>
      <c r="H24" s="23" t="s">
        <v>156</v>
      </c>
      <c r="I24" s="23"/>
      <c r="J24" s="41"/>
      <c r="K24" s="12"/>
      <c r="L24" s="12"/>
      <c r="M24" s="49"/>
      <c r="N24" s="42"/>
      <c r="O24" s="43"/>
      <c r="P24" s="13"/>
      <c r="Q24" s="14"/>
      <c r="R24" s="14"/>
    </row>
    <row r="25" spans="1:18" ht="15.75" customHeight="1" outlineLevel="1">
      <c r="A25" s="66" t="s">
        <v>158</v>
      </c>
      <c r="B25" s="63" t="s">
        <v>38</v>
      </c>
      <c r="C25" s="64"/>
      <c r="D25" s="63" t="s">
        <v>159</v>
      </c>
      <c r="E25" s="94" t="s">
        <v>40</v>
      </c>
      <c r="F25" s="95"/>
      <c r="G25" s="17" t="s">
        <v>60</v>
      </c>
      <c r="H25" s="23" t="s">
        <v>158</v>
      </c>
      <c r="I25" s="23"/>
      <c r="J25" s="41"/>
      <c r="K25" s="12"/>
      <c r="L25" s="12"/>
      <c r="M25" s="49"/>
      <c r="N25" s="42"/>
      <c r="O25" s="43"/>
      <c r="P25" s="13"/>
      <c r="Q25" s="14"/>
      <c r="R25" s="14"/>
    </row>
    <row r="26" spans="1:18" ht="15.75" customHeight="1" outlineLevel="1">
      <c r="A26" s="66" t="s">
        <v>160</v>
      </c>
      <c r="B26" s="34" t="s">
        <v>38</v>
      </c>
      <c r="C26" s="36"/>
      <c r="D26" s="65" t="s">
        <v>161</v>
      </c>
      <c r="E26" s="94" t="s">
        <v>40</v>
      </c>
      <c r="F26" s="95"/>
      <c r="G26" s="17" t="s">
        <v>60</v>
      </c>
      <c r="H26" s="23" t="s">
        <v>162</v>
      </c>
      <c r="I26" s="23"/>
      <c r="J26" s="41"/>
      <c r="K26" s="12"/>
      <c r="L26" s="12"/>
      <c r="M26" s="49"/>
      <c r="N26" s="140"/>
      <c r="O26" s="141"/>
      <c r="P26" s="13"/>
      <c r="Q26" s="14"/>
      <c r="R26" s="14"/>
    </row>
    <row r="27" spans="1:18" ht="15.75" customHeight="1" outlineLevel="1">
      <c r="A27" s="91" t="s">
        <v>163</v>
      </c>
      <c r="B27" s="82" t="s">
        <v>38</v>
      </c>
      <c r="C27" s="83"/>
      <c r="D27" s="89" t="s">
        <v>164</v>
      </c>
      <c r="E27" s="96" t="s">
        <v>40</v>
      </c>
      <c r="F27" s="97"/>
      <c r="G27" s="84" t="s">
        <v>91</v>
      </c>
      <c r="H27" s="85" t="s">
        <v>163</v>
      </c>
      <c r="I27" s="85"/>
      <c r="J27" s="41"/>
      <c r="K27" s="12"/>
      <c r="L27" s="12"/>
      <c r="M27" s="49"/>
      <c r="N27" s="42"/>
      <c r="O27" s="43"/>
      <c r="P27" s="13"/>
      <c r="Q27" s="14"/>
      <c r="R27" s="14"/>
    </row>
    <row r="28" spans="1:18" ht="15.75" customHeight="1" outlineLevel="1">
      <c r="A28" s="56" t="s">
        <v>165</v>
      </c>
      <c r="B28" s="58" t="s">
        <v>38</v>
      </c>
      <c r="C28" s="59"/>
      <c r="D28" s="80" t="s">
        <v>166</v>
      </c>
      <c r="E28" s="46" t="s">
        <v>135</v>
      </c>
      <c r="F28" s="47"/>
      <c r="G28" s="22" t="s">
        <v>147</v>
      </c>
      <c r="H28" s="22" t="s">
        <v>167</v>
      </c>
      <c r="I28" s="23" t="s">
        <v>168</v>
      </c>
      <c r="J28" s="41"/>
      <c r="K28" s="12"/>
      <c r="L28" s="12"/>
      <c r="M28" s="49"/>
      <c r="N28" s="42"/>
      <c r="O28" s="43"/>
      <c r="P28" s="13"/>
      <c r="Q28" s="14"/>
      <c r="R28" s="14"/>
    </row>
    <row r="29" spans="1:18" ht="15.75" customHeight="1" outlineLevel="1">
      <c r="A29" s="56" t="s">
        <v>169</v>
      </c>
      <c r="B29" s="58" t="s">
        <v>38</v>
      </c>
      <c r="C29" s="59"/>
      <c r="D29" s="80" t="s">
        <v>170</v>
      </c>
      <c r="E29" s="46" t="s">
        <v>135</v>
      </c>
      <c r="F29" s="47"/>
      <c r="G29" s="22" t="s">
        <v>137</v>
      </c>
      <c r="H29" s="22" t="s">
        <v>162</v>
      </c>
      <c r="I29" s="23" t="s">
        <v>171</v>
      </c>
      <c r="J29" s="41"/>
      <c r="K29" s="12"/>
      <c r="L29" s="12"/>
      <c r="M29" s="49"/>
      <c r="N29" s="42"/>
      <c r="O29" s="43"/>
      <c r="P29" s="13"/>
      <c r="Q29" s="14"/>
      <c r="R29" s="14"/>
    </row>
    <row r="30" spans="1:18" ht="15.75" customHeight="1" outlineLevel="1">
      <c r="A30" s="56" t="s">
        <v>172</v>
      </c>
      <c r="B30" s="58" t="s">
        <v>38</v>
      </c>
      <c r="C30" s="59"/>
      <c r="D30" s="80" t="s">
        <v>173</v>
      </c>
      <c r="E30" s="46" t="s">
        <v>135</v>
      </c>
      <c r="F30" s="47"/>
      <c r="G30" s="22" t="s">
        <v>91</v>
      </c>
      <c r="H30" s="22" t="s">
        <v>162</v>
      </c>
      <c r="I30" s="23" t="s">
        <v>174</v>
      </c>
      <c r="J30" s="41"/>
      <c r="K30" s="12"/>
      <c r="L30" s="12"/>
      <c r="M30" s="49"/>
      <c r="N30" s="42"/>
      <c r="O30" s="43"/>
      <c r="P30" s="13"/>
      <c r="Q30" s="14"/>
      <c r="R30" s="14"/>
    </row>
    <row r="31" spans="1:18" ht="15.75" customHeight="1" outlineLevel="1">
      <c r="A31" s="56" t="s">
        <v>175</v>
      </c>
      <c r="B31" s="58" t="s">
        <v>38</v>
      </c>
      <c r="C31" s="59"/>
      <c r="D31" s="80" t="s">
        <v>176</v>
      </c>
      <c r="E31" s="46" t="s">
        <v>135</v>
      </c>
      <c r="F31" s="47"/>
      <c r="G31" s="22" t="s">
        <v>177</v>
      </c>
      <c r="H31" s="22" t="s">
        <v>178</v>
      </c>
      <c r="I31" s="23" t="s">
        <v>179</v>
      </c>
      <c r="J31" s="41"/>
      <c r="K31" s="12"/>
      <c r="L31" s="12"/>
      <c r="M31" s="49"/>
      <c r="N31" s="42"/>
      <c r="O31" s="43"/>
      <c r="P31" s="13"/>
      <c r="Q31" s="14"/>
      <c r="R31" s="14"/>
    </row>
    <row r="32" spans="1:18" ht="15.75" customHeight="1" outlineLevel="1">
      <c r="A32" s="56" t="s">
        <v>180</v>
      </c>
      <c r="B32" s="58" t="s">
        <v>38</v>
      </c>
      <c r="C32" s="59"/>
      <c r="D32" s="80" t="s">
        <v>181</v>
      </c>
      <c r="E32" s="46" t="s">
        <v>135</v>
      </c>
      <c r="F32" s="47"/>
      <c r="G32" s="22" t="s">
        <v>182</v>
      </c>
      <c r="H32" s="22" t="s">
        <v>183</v>
      </c>
      <c r="I32" s="23" t="s">
        <v>184</v>
      </c>
      <c r="J32" s="41"/>
      <c r="K32" s="12"/>
      <c r="L32" s="12"/>
      <c r="M32" s="49"/>
      <c r="N32" s="42"/>
      <c r="O32" s="43"/>
      <c r="P32" s="13"/>
      <c r="Q32" s="14"/>
      <c r="R32" s="14"/>
    </row>
    <row r="33" spans="1:18" ht="15.75" customHeight="1" outlineLevel="1">
      <c r="A33" s="66" t="s">
        <v>84</v>
      </c>
      <c r="B33" s="34" t="s">
        <v>50</v>
      </c>
      <c r="C33" s="36" t="e" vm="1">
        <v>#VALUE!</v>
      </c>
      <c r="D33" s="34" t="s">
        <v>85</v>
      </c>
      <c r="E33" s="94" t="s">
        <v>40</v>
      </c>
      <c r="F33" s="95"/>
      <c r="G33" s="17" t="s">
        <v>86</v>
      </c>
      <c r="H33" s="23" t="s">
        <v>84</v>
      </c>
      <c r="I33" s="23"/>
      <c r="J33" s="41"/>
      <c r="K33" s="12"/>
      <c r="L33" s="12"/>
      <c r="M33" s="49"/>
      <c r="N33" s="140"/>
      <c r="O33" s="141"/>
      <c r="P33" s="13"/>
      <c r="Q33" s="14"/>
      <c r="R33" s="14"/>
    </row>
    <row r="34" spans="1:18" ht="15.75" customHeight="1" outlineLevel="1">
      <c r="A34" s="66" t="s">
        <v>87</v>
      </c>
      <c r="B34" s="34" t="s">
        <v>38</v>
      </c>
      <c r="C34" s="64"/>
      <c r="D34" s="63" t="s">
        <v>88</v>
      </c>
      <c r="E34" s="94" t="s">
        <v>40</v>
      </c>
      <c r="F34" s="95"/>
      <c r="G34" s="17" t="s">
        <v>86</v>
      </c>
      <c r="H34" s="23" t="s">
        <v>87</v>
      </c>
      <c r="I34" s="23"/>
      <c r="J34" s="41"/>
      <c r="K34" s="12"/>
      <c r="L34" s="12"/>
      <c r="M34" s="49"/>
      <c r="N34" s="42"/>
      <c r="O34" s="43"/>
      <c r="P34" s="13"/>
      <c r="Q34" s="14"/>
      <c r="R34" s="14"/>
    </row>
    <row r="35" spans="1:18" ht="15.75" customHeight="1" outlineLevel="1">
      <c r="A35" s="66" t="s">
        <v>94</v>
      </c>
      <c r="B35" s="63" t="s">
        <v>50</v>
      </c>
      <c r="C35" s="36" t="e" vm="1">
        <v>#VALUE!</v>
      </c>
      <c r="D35" s="63" t="s">
        <v>95</v>
      </c>
      <c r="E35" s="94" t="s">
        <v>40</v>
      </c>
      <c r="F35" s="95"/>
      <c r="G35" s="17" t="s">
        <v>96</v>
      </c>
      <c r="H35" s="23" t="s">
        <v>94</v>
      </c>
      <c r="I35" s="23"/>
      <c r="J35" s="41"/>
      <c r="K35" s="12"/>
      <c r="L35" s="12"/>
      <c r="M35" s="49"/>
      <c r="N35" s="42"/>
      <c r="O35" s="43"/>
      <c r="P35" s="13"/>
      <c r="Q35" s="14"/>
      <c r="R35" s="14"/>
    </row>
    <row r="36" spans="1:18" ht="15.75" customHeight="1" outlineLevel="1">
      <c r="A36" s="66" t="s">
        <v>97</v>
      </c>
      <c r="B36" s="63" t="s">
        <v>38</v>
      </c>
      <c r="C36" s="64"/>
      <c r="D36" s="63" t="s">
        <v>98</v>
      </c>
      <c r="E36" s="94" t="s">
        <v>40</v>
      </c>
      <c r="F36" s="95"/>
      <c r="G36" s="17" t="s">
        <v>96</v>
      </c>
      <c r="H36" s="23" t="s">
        <v>97</v>
      </c>
      <c r="I36" s="23"/>
      <c r="J36" s="41"/>
      <c r="K36" s="12"/>
      <c r="L36" s="12"/>
      <c r="M36" s="49"/>
      <c r="N36" s="42"/>
      <c r="O36" s="43"/>
      <c r="P36" s="13"/>
      <c r="Q36" s="14"/>
      <c r="R36" s="14"/>
    </row>
    <row r="37" spans="1:18" ht="15.75" customHeight="1" outlineLevel="1">
      <c r="A37" s="66" t="s">
        <v>89</v>
      </c>
      <c r="B37" s="34" t="s">
        <v>50</v>
      </c>
      <c r="C37" s="36"/>
      <c r="D37" s="65" t="s">
        <v>90</v>
      </c>
      <c r="E37" s="94" t="s">
        <v>40</v>
      </c>
      <c r="F37" s="95"/>
      <c r="G37" s="17" t="s">
        <v>91</v>
      </c>
      <c r="H37" s="23" t="s">
        <v>89</v>
      </c>
      <c r="I37" s="23"/>
      <c r="J37" s="41"/>
      <c r="K37" s="12"/>
      <c r="L37" s="12"/>
      <c r="M37" s="49"/>
      <c r="N37" s="42"/>
      <c r="O37" s="43"/>
      <c r="P37" s="13"/>
      <c r="Q37" s="14"/>
      <c r="R37" s="14"/>
    </row>
    <row r="38" spans="1:18" ht="15.75" customHeight="1" outlineLevel="1">
      <c r="A38" s="56" t="s">
        <v>92</v>
      </c>
      <c r="B38" s="63" t="s">
        <v>38</v>
      </c>
      <c r="C38" s="57"/>
      <c r="D38" s="67" t="s">
        <v>93</v>
      </c>
      <c r="E38" s="94" t="s">
        <v>40</v>
      </c>
      <c r="F38" s="95"/>
      <c r="G38" s="17" t="s">
        <v>91</v>
      </c>
      <c r="H38" s="60" t="s">
        <v>92</v>
      </c>
      <c r="I38" s="23"/>
      <c r="J38" s="41"/>
      <c r="K38" s="12"/>
      <c r="L38" s="12"/>
      <c r="M38" s="49"/>
      <c r="N38" s="140"/>
      <c r="O38" s="141"/>
      <c r="P38" s="13"/>
      <c r="Q38" s="14"/>
      <c r="R38" s="14"/>
    </row>
    <row r="39" spans="1:18" ht="15.75" customHeight="1" outlineLevel="1">
      <c r="A39" s="56"/>
      <c r="B39" s="58"/>
      <c r="C39" s="59"/>
      <c r="D39" s="80"/>
      <c r="E39" s="46"/>
      <c r="F39" s="47"/>
      <c r="G39" s="17"/>
      <c r="H39" s="61"/>
      <c r="I39" s="23"/>
      <c r="J39" s="41"/>
      <c r="K39" s="12"/>
      <c r="L39" s="12"/>
      <c r="M39" s="49"/>
      <c r="N39" s="42"/>
      <c r="O39" s="43"/>
      <c r="P39" s="13"/>
      <c r="Q39" s="14"/>
      <c r="R39" s="14"/>
    </row>
    <row r="40" spans="1:18" ht="15.75" customHeight="1" outlineLevel="1">
      <c r="J40" s="41"/>
      <c r="K40" s="12"/>
      <c r="L40" s="12"/>
      <c r="M40" s="49"/>
      <c r="N40" s="42"/>
      <c r="O40" s="43"/>
      <c r="P40" s="13"/>
      <c r="Q40" s="14"/>
      <c r="R40" s="14"/>
    </row>
    <row r="41" spans="1:18" ht="15.75" customHeight="1" outlineLevel="1">
      <c r="J41" s="41"/>
      <c r="K41" s="12"/>
      <c r="L41" s="12"/>
      <c r="M41" s="49"/>
      <c r="N41" s="42"/>
      <c r="O41" s="43"/>
      <c r="P41" s="13"/>
      <c r="Q41" s="14"/>
      <c r="R41" s="14"/>
    </row>
    <row r="42" spans="1:18" ht="15.75" customHeight="1" outlineLevel="1">
      <c r="J42" s="41"/>
      <c r="K42" s="12"/>
      <c r="L42" s="12"/>
      <c r="M42" s="49"/>
      <c r="N42" s="42"/>
      <c r="O42" s="43"/>
      <c r="P42" s="13"/>
      <c r="Q42" s="14"/>
      <c r="R42" s="14"/>
    </row>
    <row r="43" spans="1:18" ht="15.75" customHeight="1" outlineLevel="1">
      <c r="J43" s="41"/>
      <c r="K43" s="12"/>
      <c r="L43" s="12"/>
      <c r="M43" s="49"/>
      <c r="N43" s="42"/>
      <c r="O43" s="43"/>
      <c r="P43" s="13"/>
      <c r="Q43" s="14"/>
      <c r="R43" s="14"/>
    </row>
    <row r="44" spans="1:18" ht="15.75" customHeight="1" outlineLevel="1">
      <c r="J44" s="41"/>
      <c r="K44" s="12"/>
      <c r="L44" s="12"/>
      <c r="M44" s="49"/>
      <c r="N44" s="42"/>
      <c r="O44" s="43"/>
      <c r="P44" s="13"/>
      <c r="Q44" s="14"/>
      <c r="R44" s="14"/>
    </row>
    <row r="45" spans="1:18" ht="15.75" customHeight="1" outlineLevel="1">
      <c r="A45" s="37"/>
      <c r="B45" s="34"/>
      <c r="C45" s="36"/>
      <c r="D45" s="34"/>
      <c r="E45" s="94"/>
      <c r="F45" s="95"/>
      <c r="G45" s="17"/>
      <c r="H45" s="22"/>
      <c r="I45" s="23"/>
      <c r="J45" s="41"/>
      <c r="K45" s="12"/>
      <c r="L45" s="12"/>
      <c r="M45" s="45"/>
      <c r="N45" s="140"/>
      <c r="O45" s="141"/>
      <c r="P45" s="13"/>
      <c r="Q45" s="14"/>
      <c r="R45" s="14"/>
    </row>
    <row r="46" spans="1:18" ht="15.75" customHeight="1" outlineLevel="1">
      <c r="A46" s="38" t="s">
        <v>109</v>
      </c>
      <c r="B46" s="39"/>
      <c r="C46" s="40"/>
      <c r="D46" s="9"/>
      <c r="E46" s="94"/>
      <c r="F46" s="95"/>
      <c r="G46" s="17"/>
      <c r="H46" s="25"/>
      <c r="I46" s="24"/>
      <c r="J46" s="51"/>
      <c r="K46" s="3"/>
      <c r="L46" s="3"/>
      <c r="M46" s="49"/>
      <c r="N46" s="142"/>
      <c r="O46" s="143"/>
      <c r="P46" s="4"/>
      <c r="Q46" s="14"/>
      <c r="R46" s="14"/>
    </row>
    <row r="47" spans="1:18" ht="15.75" customHeight="1">
      <c r="E47" s="107"/>
      <c r="F47" s="108"/>
      <c r="G47" s="105"/>
      <c r="H47" s="106"/>
      <c r="I47" s="26"/>
      <c r="N47" s="124"/>
      <c r="O47" s="124"/>
    </row>
    <row r="48" spans="1:1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</sheetData>
  <autoFilter ref="A8:P46" xr:uid="{00000000-0009-0000-0000-000000000000}"/>
  <mergeCells count="63">
    <mergeCell ref="E21:F21"/>
    <mergeCell ref="E12:F12"/>
    <mergeCell ref="B1:D1"/>
    <mergeCell ref="E1:I1"/>
    <mergeCell ref="N1:P1"/>
    <mergeCell ref="E2:E6"/>
    <mergeCell ref="F2:G2"/>
    <mergeCell ref="J2:L6"/>
    <mergeCell ref="M2:M6"/>
    <mergeCell ref="N2:N6"/>
    <mergeCell ref="O2:P6"/>
    <mergeCell ref="F6:I6"/>
    <mergeCell ref="C3:C5"/>
    <mergeCell ref="D3:D5"/>
    <mergeCell ref="F3:G3"/>
    <mergeCell ref="F4:G4"/>
    <mergeCell ref="F5:G5"/>
    <mergeCell ref="G47:H47"/>
    <mergeCell ref="N47:O47"/>
    <mergeCell ref="E38:F38"/>
    <mergeCell ref="N38:O38"/>
    <mergeCell ref="E35:F35"/>
    <mergeCell ref="E36:F36"/>
    <mergeCell ref="E37:F37"/>
    <mergeCell ref="E34:F34"/>
    <mergeCell ref="E11:F11"/>
    <mergeCell ref="N11:O11"/>
    <mergeCell ref="E22:F22"/>
    <mergeCell ref="E23:F23"/>
    <mergeCell ref="E24:F24"/>
    <mergeCell ref="E25:F25"/>
    <mergeCell ref="E47:F47"/>
    <mergeCell ref="B7:D7"/>
    <mergeCell ref="E7:I7"/>
    <mergeCell ref="J7:L7"/>
    <mergeCell ref="N7:P7"/>
    <mergeCell ref="E8:F8"/>
    <mergeCell ref="N8:O8"/>
    <mergeCell ref="E26:F26"/>
    <mergeCell ref="E45:F45"/>
    <mergeCell ref="N45:O45"/>
    <mergeCell ref="E46:F46"/>
    <mergeCell ref="N46:O46"/>
    <mergeCell ref="N33:O33"/>
    <mergeCell ref="N26:O26"/>
    <mergeCell ref="E33:F33"/>
    <mergeCell ref="E27:F27"/>
    <mergeCell ref="E13:F13"/>
    <mergeCell ref="E14:F14"/>
    <mergeCell ref="E15:F15"/>
    <mergeCell ref="E20:F20"/>
    <mergeCell ref="R2:R5"/>
    <mergeCell ref="E16:F16"/>
    <mergeCell ref="N16:O16"/>
    <mergeCell ref="E17:F17"/>
    <mergeCell ref="N17:O17"/>
    <mergeCell ref="E18:F18"/>
    <mergeCell ref="E19:F19"/>
    <mergeCell ref="Q2:Q5"/>
    <mergeCell ref="E9:F9"/>
    <mergeCell ref="N9:O9"/>
    <mergeCell ref="E10:F10"/>
    <mergeCell ref="N10:O10"/>
  </mergeCells>
  <conditionalFormatting sqref="A9:A11">
    <cfRule type="expression" dxfId="93" priority="2">
      <formula>M9 = "On Hold"</formula>
    </cfRule>
  </conditionalFormatting>
  <conditionalFormatting sqref="A14 A22:A32">
    <cfRule type="expression" dxfId="92" priority="3">
      <formula>M14 = "On Hold"</formula>
    </cfRule>
  </conditionalFormatting>
  <conditionalFormatting sqref="A16:A19 A45:A46">
    <cfRule type="expression" dxfId="91" priority="8">
      <formula>M16 = "On Hold"</formula>
    </cfRule>
  </conditionalFormatting>
  <conditionalFormatting sqref="A37">
    <cfRule type="expression" dxfId="90" priority="1">
      <formula>M37 = "On Hold"</formula>
    </cfRule>
  </conditionalFormatting>
  <conditionalFormatting sqref="B2:B5 J9:P46">
    <cfRule type="cellIs" dxfId="89" priority="6" operator="equal">
      <formula>"Done"</formula>
    </cfRule>
    <cfRule type="cellIs" dxfId="88" priority="7" operator="equal">
      <formula>"On Hold"</formula>
    </cfRule>
    <cfRule type="cellIs" dxfId="87" priority="9" operator="equal">
      <formula>"Ready for Review"</formula>
    </cfRule>
    <cfRule type="cellIs" dxfId="86" priority="10" operator="equal">
      <formula>"In Review"</formula>
    </cfRule>
  </conditionalFormatting>
  <dataValidations count="7">
    <dataValidation type="list" allowBlank="1" showErrorMessage="1" sqref="B2" xr:uid="{20440959-1C93-4F1B-AF5F-76AAA68568C6}">
      <formula1>STT_Statuses</formula1>
    </dataValidation>
    <dataValidation type="list" allowBlank="1" sqref="B4:B5" xr:uid="{C14BF64D-165C-45B3-BFD1-ECD68D2646E6}">
      <formula1>ETL_Statuses</formula1>
    </dataValidation>
    <dataValidation type="list" allowBlank="1" sqref="B3 M9:M46" xr:uid="{B1D521AF-4BBF-4E91-B5DB-7DD6649A67A3}">
      <formula1>Statuses</formula1>
    </dataValidation>
    <dataValidation type="list" allowBlank="1" sqref="B45:B46 B9:B38" xr:uid="{585311A5-B69D-46D2-8F8D-4D1EB931B2AE}">
      <formula1>Data_Types</formula1>
    </dataValidation>
    <dataValidation type="list" allowBlank="1" sqref="N9:N46" xr:uid="{B8FCF983-079B-4681-9822-021D43B01554}">
      <formula1>Categories</formula1>
    </dataValidation>
    <dataValidation type="list" allowBlank="1" sqref="P9:P46" xr:uid="{810C5E3B-868D-4563-ABBA-19B9397CDF09}">
      <formula1>Versions</formula1>
    </dataValidation>
    <dataValidation type="list" allowBlank="1" sqref="E45:E46 E9:E39" xr:uid="{1BE17BEB-A93A-4C04-8B7D-591B01917308}">
      <formula1>Sources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16127-E80D-4098-8913-C80B26F01CC0}">
  <sheetPr>
    <tabColor theme="4" tint="0.59999389629810485"/>
    <outlinePr summaryBelow="0" summaryRight="0"/>
  </sheetPr>
  <dimension ref="A1:R176"/>
  <sheetViews>
    <sheetView workbookViewId="0">
      <pane xSplit="1" ySplit="8" topLeftCell="B9" activePane="bottomRight" state="frozen"/>
      <selection pane="bottomRight" activeCell="E49" sqref="E49:F49"/>
      <selection pane="bottomLeft" activeCell="A9" sqref="A9"/>
      <selection pane="topRight" activeCell="B1" sqref="B1"/>
    </sheetView>
  </sheetViews>
  <sheetFormatPr defaultColWidth="12.7109375" defaultRowHeight="15" customHeight="1" outlineLevelRow="1" outlineLevelCol="1"/>
  <cols>
    <col min="1" max="1" width="35.7109375" style="18" customWidth="1"/>
    <col min="2" max="2" width="16.28515625" style="18" customWidth="1" outlineLevel="1"/>
    <col min="3" max="3" width="7" style="18" customWidth="1" outlineLevel="1"/>
    <col min="4" max="4" width="43" style="18" customWidth="1" outlineLevel="1"/>
    <col min="5" max="5" width="2.28515625" style="21" customWidth="1"/>
    <col min="6" max="6" width="12.7109375" style="44" customWidth="1" outlineLevel="1"/>
    <col min="7" max="7" width="18.140625" style="27" customWidth="1" outlineLevel="1"/>
    <col min="8" max="8" width="34.5703125" style="18" customWidth="1" outlineLevel="1"/>
    <col min="9" max="9" width="33.140625" style="18" customWidth="1" outlineLevel="1"/>
    <col min="10" max="10" width="5.85546875" hidden="1" customWidth="1" outlineLevel="1"/>
    <col min="11" max="11" width="5" hidden="1" customWidth="1" outlineLevel="1"/>
    <col min="12" max="12" width="11.7109375" hidden="1" customWidth="1" outlineLevel="1"/>
    <col min="13" max="13" width="2.28515625" customWidth="1"/>
    <col min="14" max="14" width="2.28515625" customWidth="1" collapsed="1"/>
    <col min="15" max="15" width="10.7109375" hidden="1" customWidth="1" outlineLevel="1"/>
    <col min="16" max="16" width="11" hidden="1" customWidth="1" outlineLevel="1"/>
    <col min="17" max="18" width="47.7109375" customWidth="1"/>
  </cols>
  <sheetData>
    <row r="1" spans="1:18" ht="5.25" customHeight="1" outlineLevel="1">
      <c r="A1" s="28"/>
      <c r="B1" s="109"/>
      <c r="C1" s="106"/>
      <c r="D1" s="106"/>
      <c r="E1" s="110"/>
      <c r="F1" s="106"/>
      <c r="G1" s="106"/>
      <c r="H1" s="106"/>
      <c r="I1" s="106"/>
      <c r="J1" s="2"/>
      <c r="K1" s="2"/>
      <c r="L1" s="2"/>
      <c r="M1" s="2"/>
      <c r="N1" s="111"/>
      <c r="O1" s="124"/>
      <c r="P1" s="124"/>
    </row>
    <row r="2" spans="1:18" ht="15.75" customHeight="1" outlineLevel="1">
      <c r="A2" s="29" t="s">
        <v>0</v>
      </c>
      <c r="B2" s="29" t="s">
        <v>1</v>
      </c>
      <c r="C2" s="30"/>
      <c r="D2" s="31" t="s">
        <v>2</v>
      </c>
      <c r="E2" s="112" t="s">
        <v>3</v>
      </c>
      <c r="F2" s="115" t="s">
        <v>4</v>
      </c>
      <c r="G2" s="116"/>
      <c r="H2" s="19" t="s">
        <v>5</v>
      </c>
      <c r="I2" s="20"/>
      <c r="J2" s="117"/>
      <c r="K2" s="125"/>
      <c r="L2" s="126"/>
      <c r="M2" s="118" t="s">
        <v>6</v>
      </c>
      <c r="N2" s="119" t="s">
        <v>7</v>
      </c>
      <c r="O2" s="120"/>
      <c r="P2" s="126"/>
      <c r="Q2" s="127" t="s">
        <v>8</v>
      </c>
      <c r="R2" s="128" t="s">
        <v>9</v>
      </c>
    </row>
    <row r="3" spans="1:18" ht="15.75" customHeight="1" outlineLevel="1">
      <c r="A3" s="29" t="s">
        <v>10</v>
      </c>
      <c r="B3" s="29"/>
      <c r="C3" s="108"/>
      <c r="D3" s="121"/>
      <c r="E3" s="113"/>
      <c r="F3" s="103" t="s">
        <v>185</v>
      </c>
      <c r="G3" s="104"/>
      <c r="H3" s="19" t="s">
        <v>13</v>
      </c>
      <c r="I3" s="20"/>
      <c r="J3" s="129"/>
      <c r="K3" s="128"/>
      <c r="L3" s="130"/>
      <c r="M3" s="131"/>
      <c r="N3" s="131"/>
      <c r="O3" s="129"/>
      <c r="P3" s="130"/>
      <c r="Q3" s="127"/>
      <c r="R3" s="128"/>
    </row>
    <row r="4" spans="1:18" ht="15.75" customHeight="1" outlineLevel="1">
      <c r="A4" s="29" t="s">
        <v>14</v>
      </c>
      <c r="B4" s="29"/>
      <c r="C4" s="108"/>
      <c r="D4" s="113"/>
      <c r="E4" s="113"/>
      <c r="F4" s="115" t="s">
        <v>15</v>
      </c>
      <c r="G4" s="116"/>
      <c r="H4" s="19" t="s">
        <v>16</v>
      </c>
      <c r="I4" s="20"/>
      <c r="J4" s="129"/>
      <c r="K4" s="128"/>
      <c r="L4" s="130"/>
      <c r="M4" s="131"/>
      <c r="N4" s="131"/>
      <c r="O4" s="129"/>
      <c r="P4" s="130"/>
      <c r="Q4" s="127"/>
      <c r="R4" s="128"/>
    </row>
    <row r="5" spans="1:18" ht="15.75" customHeight="1" outlineLevel="1">
      <c r="A5" s="29" t="s">
        <v>17</v>
      </c>
      <c r="B5" s="29"/>
      <c r="C5" s="108"/>
      <c r="D5" s="114"/>
      <c r="E5" s="113"/>
      <c r="F5" s="103" t="s">
        <v>186</v>
      </c>
      <c r="G5" s="104"/>
      <c r="H5" s="19" t="s">
        <v>19</v>
      </c>
      <c r="I5" s="20"/>
      <c r="J5" s="129"/>
      <c r="K5" s="128"/>
      <c r="L5" s="130"/>
      <c r="M5" s="131"/>
      <c r="N5" s="131"/>
      <c r="O5" s="129"/>
      <c r="P5" s="130"/>
      <c r="Q5" s="132"/>
      <c r="R5" s="133"/>
    </row>
    <row r="6" spans="1:18" ht="15.75" customHeight="1" outlineLevel="1">
      <c r="A6" s="21"/>
      <c r="B6" s="21"/>
      <c r="C6" s="32" t="e" vm="1">
        <v>#VALUE!</v>
      </c>
      <c r="D6" s="21"/>
      <c r="E6" s="114"/>
      <c r="F6" s="108"/>
      <c r="G6" s="108"/>
      <c r="H6" s="108"/>
      <c r="I6" s="108"/>
      <c r="J6" s="134"/>
      <c r="K6" s="135"/>
      <c r="L6" s="136"/>
      <c r="M6" s="137"/>
      <c r="N6" s="137"/>
      <c r="O6" s="134"/>
      <c r="P6" s="136"/>
      <c r="Q6" s="10" t="s">
        <v>20</v>
      </c>
      <c r="R6" s="10" t="s">
        <v>20</v>
      </c>
    </row>
    <row r="7" spans="1:18" ht="15.75" customHeight="1">
      <c r="A7" s="33" t="s">
        <v>21</v>
      </c>
      <c r="B7" s="98" t="s">
        <v>21</v>
      </c>
      <c r="C7" s="99"/>
      <c r="D7" s="99"/>
      <c r="E7" s="100" t="s">
        <v>22</v>
      </c>
      <c r="F7" s="99"/>
      <c r="G7" s="99"/>
      <c r="H7" s="99"/>
      <c r="I7" s="101"/>
      <c r="J7" s="138"/>
      <c r="K7" s="138"/>
      <c r="L7" s="139"/>
      <c r="M7" s="53" t="s">
        <v>23</v>
      </c>
      <c r="N7" s="102" t="s">
        <v>24</v>
      </c>
      <c r="O7" s="138"/>
      <c r="P7" s="139"/>
      <c r="Q7" s="11"/>
      <c r="R7" s="11"/>
    </row>
    <row r="8" spans="1:18" ht="15.75" customHeight="1">
      <c r="A8" s="34" t="s">
        <v>26</v>
      </c>
      <c r="B8" s="34" t="s">
        <v>27</v>
      </c>
      <c r="C8" s="34" t="s">
        <v>28</v>
      </c>
      <c r="D8" s="35" t="s">
        <v>29</v>
      </c>
      <c r="E8" s="94" t="s">
        <v>30</v>
      </c>
      <c r="F8" s="101"/>
      <c r="G8" s="17" t="s">
        <v>31</v>
      </c>
      <c r="H8" s="22" t="s">
        <v>32</v>
      </c>
      <c r="I8" s="23" t="s">
        <v>33</v>
      </c>
      <c r="J8" s="50"/>
      <c r="K8" s="12" t="s">
        <v>31</v>
      </c>
      <c r="L8" s="12" t="s">
        <v>26</v>
      </c>
      <c r="M8" s="52" t="s">
        <v>34</v>
      </c>
      <c r="N8" s="140" t="s">
        <v>35</v>
      </c>
      <c r="O8" s="139"/>
      <c r="P8" s="13" t="s">
        <v>36</v>
      </c>
      <c r="Q8" s="14"/>
      <c r="R8" s="14"/>
    </row>
    <row r="9" spans="1:18" ht="15.75" customHeight="1" outlineLevel="1">
      <c r="A9" s="56" t="s">
        <v>92</v>
      </c>
      <c r="B9" s="34" t="s">
        <v>38</v>
      </c>
      <c r="C9" s="36" t="e" vm="1">
        <v>#VALUE!</v>
      </c>
      <c r="D9" s="34" t="s">
        <v>93</v>
      </c>
      <c r="E9" s="94" t="s">
        <v>40</v>
      </c>
      <c r="F9" s="95"/>
      <c r="G9" s="17" t="s">
        <v>91</v>
      </c>
      <c r="H9" s="17" t="s">
        <v>92</v>
      </c>
      <c r="I9" s="23"/>
      <c r="J9" s="41"/>
      <c r="K9" s="12"/>
      <c r="L9" s="12"/>
      <c r="M9" s="49"/>
      <c r="N9" s="140" t="s">
        <v>42</v>
      </c>
      <c r="O9" s="141"/>
      <c r="P9" s="13" t="s">
        <v>43</v>
      </c>
      <c r="Q9" s="14"/>
      <c r="R9" s="14"/>
    </row>
    <row r="10" spans="1:18" ht="15.75" customHeight="1" outlineLevel="1">
      <c r="A10" s="56" t="s">
        <v>133</v>
      </c>
      <c r="B10" s="34" t="s">
        <v>38</v>
      </c>
      <c r="C10" s="36"/>
      <c r="D10" s="34" t="s">
        <v>187</v>
      </c>
      <c r="E10" s="94" t="s">
        <v>135</v>
      </c>
      <c r="F10" s="95"/>
      <c r="G10" s="17"/>
      <c r="H10" s="17"/>
      <c r="I10" s="23"/>
      <c r="J10" s="41"/>
      <c r="K10" s="12"/>
      <c r="L10" s="12"/>
      <c r="M10" s="49"/>
      <c r="N10" s="42"/>
      <c r="O10" s="43"/>
      <c r="P10" s="13"/>
      <c r="Q10" s="14"/>
      <c r="R10" s="14"/>
    </row>
    <row r="11" spans="1:18" ht="15.75" customHeight="1" outlineLevel="1">
      <c r="A11" s="56" t="s">
        <v>188</v>
      </c>
      <c r="B11" s="34" t="s">
        <v>38</v>
      </c>
      <c r="C11" s="36"/>
      <c r="D11" s="34" t="s">
        <v>189</v>
      </c>
      <c r="E11" s="94" t="s">
        <v>135</v>
      </c>
      <c r="F11" s="95"/>
      <c r="G11" s="17"/>
      <c r="H11" s="17"/>
      <c r="I11" s="23"/>
      <c r="J11" s="41"/>
      <c r="K11" s="12"/>
      <c r="L11" s="12"/>
      <c r="M11" s="49"/>
      <c r="N11" s="42"/>
      <c r="O11" s="43"/>
      <c r="P11" s="13"/>
      <c r="Q11" s="14"/>
      <c r="R11" s="14"/>
    </row>
    <row r="12" spans="1:18" ht="15.75" customHeight="1" outlineLevel="1">
      <c r="A12" s="56" t="s">
        <v>84</v>
      </c>
      <c r="B12" s="34" t="s">
        <v>50</v>
      </c>
      <c r="C12" s="36" t="e" vm="1">
        <v>#VALUE!</v>
      </c>
      <c r="D12" s="34" t="s">
        <v>85</v>
      </c>
      <c r="E12" s="94" t="s">
        <v>40</v>
      </c>
      <c r="F12" s="95"/>
      <c r="G12" s="17" t="s">
        <v>86</v>
      </c>
      <c r="H12" s="17" t="s">
        <v>84</v>
      </c>
      <c r="I12" s="23"/>
      <c r="J12" s="41"/>
      <c r="K12" s="12"/>
      <c r="L12" s="12"/>
      <c r="M12" s="49"/>
      <c r="N12" s="42"/>
      <c r="O12" s="43"/>
      <c r="P12" s="13"/>
      <c r="Q12" s="14"/>
      <c r="R12" s="14"/>
    </row>
    <row r="13" spans="1:18" ht="15.75" customHeight="1" outlineLevel="1">
      <c r="A13" s="56" t="s">
        <v>87</v>
      </c>
      <c r="B13" s="34" t="s">
        <v>38</v>
      </c>
      <c r="C13" s="36"/>
      <c r="D13" s="34" t="s">
        <v>88</v>
      </c>
      <c r="E13" s="94" t="s">
        <v>40</v>
      </c>
      <c r="F13" s="95"/>
      <c r="G13" s="17" t="s">
        <v>86</v>
      </c>
      <c r="H13" s="17" t="s">
        <v>87</v>
      </c>
      <c r="I13" s="23"/>
      <c r="J13" s="41"/>
      <c r="K13" s="12"/>
      <c r="L13" s="12"/>
      <c r="M13" s="49"/>
      <c r="N13" s="42"/>
      <c r="O13" s="43"/>
      <c r="P13" s="13"/>
      <c r="Q13" s="14"/>
      <c r="R13" s="14"/>
    </row>
    <row r="14" spans="1:18" ht="15.75" customHeight="1" outlineLevel="1">
      <c r="A14" s="56" t="s">
        <v>190</v>
      </c>
      <c r="B14" s="34" t="s">
        <v>38</v>
      </c>
      <c r="C14" s="36"/>
      <c r="D14" s="34" t="s">
        <v>191</v>
      </c>
      <c r="E14" s="94" t="s">
        <v>135</v>
      </c>
      <c r="F14" s="95"/>
      <c r="G14" s="17" t="s">
        <v>192</v>
      </c>
      <c r="H14" s="17"/>
      <c r="I14" s="23"/>
      <c r="J14" s="41"/>
      <c r="K14" s="12"/>
      <c r="L14" s="12"/>
      <c r="M14" s="49"/>
      <c r="N14" s="42"/>
      <c r="O14" s="43"/>
      <c r="P14" s="13"/>
      <c r="Q14" s="14"/>
      <c r="R14" s="14"/>
    </row>
    <row r="15" spans="1:18" ht="15.75" customHeight="1" outlineLevel="1">
      <c r="A15" s="56" t="s">
        <v>193</v>
      </c>
      <c r="B15" s="34" t="s">
        <v>72</v>
      </c>
      <c r="C15" s="36"/>
      <c r="D15" s="34" t="s">
        <v>194</v>
      </c>
      <c r="E15" s="94" t="s">
        <v>40</v>
      </c>
      <c r="F15" s="95"/>
      <c r="G15" s="17" t="s">
        <v>195</v>
      </c>
      <c r="H15" s="17" t="s">
        <v>193</v>
      </c>
      <c r="I15" s="23" t="s">
        <v>196</v>
      </c>
      <c r="J15" s="41"/>
      <c r="K15" s="12"/>
      <c r="L15" s="12"/>
      <c r="M15" s="49"/>
      <c r="N15" s="42"/>
      <c r="O15" s="43"/>
      <c r="P15" s="13"/>
      <c r="Q15" s="14"/>
      <c r="R15" s="14"/>
    </row>
    <row r="16" spans="1:18" ht="15.75" customHeight="1" outlineLevel="1">
      <c r="A16" s="37" t="s">
        <v>104</v>
      </c>
      <c r="B16" s="34" t="s">
        <v>50</v>
      </c>
      <c r="C16" s="36" t="e" vm="1">
        <v>#VALUE!</v>
      </c>
      <c r="D16" s="34" t="s">
        <v>105</v>
      </c>
      <c r="E16" s="94" t="s">
        <v>40</v>
      </c>
      <c r="F16" s="95"/>
      <c r="G16" s="17" t="s">
        <v>106</v>
      </c>
      <c r="H16" s="17" t="s">
        <v>104</v>
      </c>
      <c r="I16" s="23"/>
      <c r="J16" s="41"/>
      <c r="K16" s="12"/>
      <c r="L16" s="12"/>
      <c r="M16" s="49"/>
      <c r="N16" s="42"/>
      <c r="O16" s="43"/>
      <c r="P16" s="13"/>
      <c r="Q16" s="14"/>
      <c r="R16" s="14"/>
    </row>
    <row r="17" spans="1:18" ht="15.75" customHeight="1" outlineLevel="1">
      <c r="A17" s="37" t="s">
        <v>107</v>
      </c>
      <c r="B17" s="34" t="s">
        <v>38</v>
      </c>
      <c r="C17" s="36"/>
      <c r="D17" s="34" t="s">
        <v>108</v>
      </c>
      <c r="E17" s="94" t="s">
        <v>40</v>
      </c>
      <c r="F17" s="95"/>
      <c r="G17" s="17" t="s">
        <v>106</v>
      </c>
      <c r="H17" s="17" t="s">
        <v>107</v>
      </c>
      <c r="I17" s="23"/>
      <c r="J17" s="41"/>
      <c r="K17" s="12"/>
      <c r="L17" s="12"/>
      <c r="M17" s="49"/>
      <c r="N17" s="42"/>
      <c r="O17" s="43"/>
      <c r="P17" s="13"/>
      <c r="Q17" s="14"/>
      <c r="R17" s="14"/>
    </row>
    <row r="18" spans="1:18" ht="15.75" customHeight="1" outlineLevel="1">
      <c r="A18" s="37" t="s">
        <v>99</v>
      </c>
      <c r="B18" s="34" t="s">
        <v>50</v>
      </c>
      <c r="C18" s="36" t="e" vm="1">
        <v>#VALUE!</v>
      </c>
      <c r="D18" s="34" t="s">
        <v>100</v>
      </c>
      <c r="E18" s="94" t="s">
        <v>40</v>
      </c>
      <c r="F18" s="95"/>
      <c r="G18" s="17" t="s">
        <v>137</v>
      </c>
      <c r="H18" s="22" t="s">
        <v>99</v>
      </c>
      <c r="I18" s="17"/>
      <c r="J18" s="41"/>
      <c r="K18" s="12"/>
      <c r="L18" s="12"/>
      <c r="M18" s="49"/>
      <c r="N18" s="140"/>
      <c r="O18" s="141"/>
      <c r="P18" s="13"/>
      <c r="Q18" s="14"/>
      <c r="R18" s="14"/>
    </row>
    <row r="19" spans="1:18" ht="15.75" customHeight="1" outlineLevel="1">
      <c r="A19" s="37" t="s">
        <v>102</v>
      </c>
      <c r="B19" s="34" t="s">
        <v>38</v>
      </c>
      <c r="C19" s="36"/>
      <c r="D19" s="34" t="s">
        <v>103</v>
      </c>
      <c r="E19" s="94" t="s">
        <v>40</v>
      </c>
      <c r="F19" s="95"/>
      <c r="G19" s="17" t="s">
        <v>137</v>
      </c>
      <c r="H19" s="22" t="s">
        <v>102</v>
      </c>
      <c r="I19" s="48"/>
      <c r="J19" s="41"/>
      <c r="K19" s="12"/>
      <c r="L19" s="12"/>
      <c r="M19" s="49"/>
      <c r="N19" s="42"/>
      <c r="O19" s="43"/>
      <c r="P19" s="13"/>
      <c r="Q19" s="14"/>
      <c r="R19" s="14"/>
    </row>
    <row r="20" spans="1:18" ht="15.75" customHeight="1" outlineLevel="1">
      <c r="A20" s="37" t="s">
        <v>143</v>
      </c>
      <c r="B20" s="34" t="s">
        <v>38</v>
      </c>
      <c r="C20" s="36" t="e" vm="1">
        <v>#VALUE!</v>
      </c>
      <c r="D20" s="34" t="s">
        <v>197</v>
      </c>
      <c r="E20" s="94" t="s">
        <v>40</v>
      </c>
      <c r="F20" s="95"/>
      <c r="G20" s="17" t="s">
        <v>147</v>
      </c>
      <c r="H20" s="22" t="s">
        <v>143</v>
      </c>
      <c r="I20" s="48"/>
      <c r="J20" s="41"/>
      <c r="K20" s="12"/>
      <c r="L20" s="12"/>
      <c r="M20" s="49"/>
      <c r="N20" s="42"/>
      <c r="O20" s="43"/>
      <c r="P20" s="13"/>
      <c r="Q20" s="14"/>
      <c r="R20" s="14"/>
    </row>
    <row r="21" spans="1:18" ht="15.75" customHeight="1" outlineLevel="1">
      <c r="A21" s="37" t="s">
        <v>138</v>
      </c>
      <c r="B21" s="34" t="s">
        <v>50</v>
      </c>
      <c r="C21" s="36"/>
      <c r="D21" s="34" t="s">
        <v>139</v>
      </c>
      <c r="E21" s="94" t="s">
        <v>40</v>
      </c>
      <c r="F21" s="95"/>
      <c r="G21" s="17" t="s">
        <v>147</v>
      </c>
      <c r="H21" s="22" t="s">
        <v>138</v>
      </c>
      <c r="I21" s="48"/>
      <c r="J21" s="41"/>
      <c r="K21" s="12"/>
      <c r="L21" s="12"/>
      <c r="M21" s="49"/>
      <c r="N21" s="42"/>
      <c r="O21" s="43"/>
      <c r="P21" s="13"/>
      <c r="Q21" s="14"/>
      <c r="R21" s="14"/>
    </row>
    <row r="22" spans="1:18" ht="15.75" customHeight="1" outlineLevel="1">
      <c r="A22" s="37" t="s">
        <v>145</v>
      </c>
      <c r="B22" s="34" t="s">
        <v>38</v>
      </c>
      <c r="C22" s="36"/>
      <c r="D22" s="34" t="s">
        <v>146</v>
      </c>
      <c r="E22" s="94" t="s">
        <v>40</v>
      </c>
      <c r="F22" s="95"/>
      <c r="G22" s="17" t="s">
        <v>147</v>
      </c>
      <c r="H22" s="22" t="s">
        <v>145</v>
      </c>
      <c r="I22" s="48"/>
      <c r="J22" s="41"/>
      <c r="K22" s="12"/>
      <c r="L22" s="12"/>
      <c r="M22" s="49"/>
      <c r="N22" s="42"/>
      <c r="O22" s="43"/>
      <c r="P22" s="13"/>
      <c r="Q22" s="14"/>
      <c r="R22" s="14"/>
    </row>
    <row r="23" spans="1:18" ht="15.75" customHeight="1" outlineLevel="1">
      <c r="A23" s="37" t="s">
        <v>148</v>
      </c>
      <c r="B23" s="34" t="s">
        <v>38</v>
      </c>
      <c r="C23" s="36"/>
      <c r="D23" s="34" t="s">
        <v>198</v>
      </c>
      <c r="E23" s="94" t="s">
        <v>40</v>
      </c>
      <c r="F23" s="95"/>
      <c r="G23" s="17" t="s">
        <v>150</v>
      </c>
      <c r="H23" s="22" t="s">
        <v>148</v>
      </c>
      <c r="I23" s="48"/>
      <c r="J23" s="41"/>
      <c r="K23" s="12"/>
      <c r="L23" s="12"/>
      <c r="M23" s="49"/>
      <c r="N23" s="42"/>
      <c r="O23" s="43"/>
      <c r="P23" s="13"/>
      <c r="Q23" s="14"/>
      <c r="R23" s="14"/>
    </row>
    <row r="24" spans="1:18" ht="15.75" customHeight="1" outlineLevel="1">
      <c r="A24" s="37" t="s">
        <v>199</v>
      </c>
      <c r="B24" s="34" t="s">
        <v>38</v>
      </c>
      <c r="C24" s="36"/>
      <c r="D24" s="34" t="s">
        <v>200</v>
      </c>
      <c r="E24" s="94" t="s">
        <v>40</v>
      </c>
      <c r="F24" s="95"/>
      <c r="G24" s="17" t="s">
        <v>150</v>
      </c>
      <c r="H24" s="22" t="s">
        <v>199</v>
      </c>
      <c r="I24" s="48"/>
      <c r="J24" s="41"/>
      <c r="K24" s="12"/>
      <c r="L24" s="12"/>
      <c r="M24" s="49"/>
      <c r="N24" s="42"/>
      <c r="O24" s="43"/>
      <c r="P24" s="13"/>
      <c r="Q24" s="14"/>
      <c r="R24" s="14"/>
    </row>
    <row r="25" spans="1:18" ht="15.75" customHeight="1" outlineLevel="1">
      <c r="A25" s="37" t="s">
        <v>94</v>
      </c>
      <c r="B25" s="34" t="s">
        <v>50</v>
      </c>
      <c r="C25" s="36" t="e" vm="1">
        <v>#VALUE!</v>
      </c>
      <c r="D25" s="34" t="s">
        <v>95</v>
      </c>
      <c r="E25" s="94" t="s">
        <v>40</v>
      </c>
      <c r="F25" s="95"/>
      <c r="G25" s="17" t="s">
        <v>96</v>
      </c>
      <c r="H25" s="22" t="s">
        <v>94</v>
      </c>
      <c r="I25" s="48"/>
      <c r="J25" s="41"/>
      <c r="K25" s="12"/>
      <c r="L25" s="12"/>
      <c r="M25" s="49"/>
      <c r="N25" s="42"/>
      <c r="O25" s="43"/>
      <c r="P25" s="13"/>
      <c r="Q25" s="14"/>
      <c r="R25" s="14"/>
    </row>
    <row r="26" spans="1:18" ht="15.75" customHeight="1" outlineLevel="1">
      <c r="A26" s="37" t="s">
        <v>97</v>
      </c>
      <c r="B26" s="34" t="s">
        <v>38</v>
      </c>
      <c r="C26" s="36"/>
      <c r="D26" s="34" t="s">
        <v>98</v>
      </c>
      <c r="E26" s="94" t="s">
        <v>40</v>
      </c>
      <c r="F26" s="95"/>
      <c r="G26" s="17" t="s">
        <v>96</v>
      </c>
      <c r="H26" s="22" t="s">
        <v>97</v>
      </c>
      <c r="I26" s="48"/>
      <c r="J26" s="41"/>
      <c r="K26" s="12"/>
      <c r="L26" s="12"/>
      <c r="M26" s="49"/>
      <c r="N26" s="42"/>
      <c r="O26" s="43"/>
      <c r="P26" s="13"/>
      <c r="Q26" s="14"/>
      <c r="R26" s="14"/>
    </row>
    <row r="27" spans="1:18" ht="15.75" customHeight="1" outlineLevel="1">
      <c r="A27" s="37" t="s">
        <v>201</v>
      </c>
      <c r="B27" s="34" t="s">
        <v>50</v>
      </c>
      <c r="C27" s="36"/>
      <c r="D27" s="34" t="s">
        <v>202</v>
      </c>
      <c r="E27" s="94" t="s">
        <v>135</v>
      </c>
      <c r="F27" s="95"/>
      <c r="G27" s="17" t="s">
        <v>60</v>
      </c>
      <c r="H27" s="22"/>
      <c r="I27" s="48" t="s">
        <v>203</v>
      </c>
      <c r="J27" s="41"/>
      <c r="K27" s="12"/>
      <c r="L27" s="12"/>
      <c r="M27" s="49"/>
      <c r="N27" s="42"/>
      <c r="O27" s="43"/>
      <c r="P27" s="13"/>
      <c r="Q27" s="14"/>
      <c r="R27" s="14"/>
    </row>
    <row r="28" spans="1:18" ht="15.75" customHeight="1" outlineLevel="1">
      <c r="A28" s="37" t="s">
        <v>204</v>
      </c>
      <c r="B28" s="34" t="s">
        <v>50</v>
      </c>
      <c r="C28" s="36"/>
      <c r="D28" s="34" t="s">
        <v>205</v>
      </c>
      <c r="E28" s="94" t="s">
        <v>135</v>
      </c>
      <c r="F28" s="95"/>
      <c r="G28" s="17" t="s">
        <v>60</v>
      </c>
      <c r="H28" s="22"/>
      <c r="I28" s="48" t="s">
        <v>206</v>
      </c>
      <c r="J28" s="41"/>
      <c r="K28" s="12"/>
      <c r="L28" s="12"/>
      <c r="M28" s="49"/>
      <c r="N28" s="42"/>
      <c r="O28" s="43"/>
      <c r="P28" s="13"/>
      <c r="Q28" s="14"/>
      <c r="R28" s="14"/>
    </row>
    <row r="29" spans="1:18" ht="15.75" customHeight="1" outlineLevel="1">
      <c r="A29" s="37" t="s">
        <v>207</v>
      </c>
      <c r="B29" s="34" t="s">
        <v>72</v>
      </c>
      <c r="C29" s="36"/>
      <c r="D29" s="34" t="s">
        <v>208</v>
      </c>
      <c r="E29" s="94" t="s">
        <v>135</v>
      </c>
      <c r="F29" s="95"/>
      <c r="G29" s="17" t="s">
        <v>209</v>
      </c>
      <c r="H29" s="22"/>
      <c r="I29" s="48" t="s">
        <v>210</v>
      </c>
      <c r="J29" s="41"/>
      <c r="K29" s="12"/>
      <c r="L29" s="12"/>
      <c r="M29" s="49"/>
      <c r="N29" s="42"/>
      <c r="O29" s="43"/>
      <c r="P29" s="13"/>
      <c r="Q29" s="14"/>
      <c r="R29" s="14"/>
    </row>
    <row r="30" spans="1:18" ht="15.75" customHeight="1" outlineLevel="1">
      <c r="A30" s="37" t="s">
        <v>211</v>
      </c>
      <c r="B30" s="34" t="s">
        <v>72</v>
      </c>
      <c r="C30" s="36"/>
      <c r="D30" s="34" t="s">
        <v>212</v>
      </c>
      <c r="E30" s="94" t="s">
        <v>135</v>
      </c>
      <c r="F30" s="95"/>
      <c r="G30" s="17" t="s">
        <v>213</v>
      </c>
      <c r="H30" s="22"/>
      <c r="I30" s="48" t="s">
        <v>214</v>
      </c>
      <c r="J30" s="41"/>
      <c r="K30" s="12"/>
      <c r="L30" s="12"/>
      <c r="M30" s="49"/>
      <c r="N30" s="42"/>
      <c r="O30" s="43"/>
      <c r="P30" s="13"/>
      <c r="Q30" s="14"/>
      <c r="R30" s="14"/>
    </row>
    <row r="31" spans="1:18" ht="15.75" customHeight="1" outlineLevel="1">
      <c r="A31" s="37" t="s">
        <v>215</v>
      </c>
      <c r="B31" s="34" t="s">
        <v>72</v>
      </c>
      <c r="C31" s="36"/>
      <c r="D31" s="34" t="s">
        <v>216</v>
      </c>
      <c r="E31" s="94" t="s">
        <v>40</v>
      </c>
      <c r="F31" s="95"/>
      <c r="G31" s="17" t="s">
        <v>147</v>
      </c>
      <c r="H31" s="22" t="s">
        <v>215</v>
      </c>
      <c r="I31" s="48"/>
      <c r="J31" s="41"/>
      <c r="K31" s="12"/>
      <c r="L31" s="12"/>
      <c r="M31" s="49"/>
      <c r="N31" s="42"/>
      <c r="O31" s="43"/>
      <c r="P31" s="13"/>
      <c r="Q31" s="14"/>
      <c r="R31" s="14"/>
    </row>
    <row r="32" spans="1:18" ht="15.75" customHeight="1" outlineLevel="1">
      <c r="A32" s="37" t="s">
        <v>217</v>
      </c>
      <c r="B32" s="34" t="s">
        <v>72</v>
      </c>
      <c r="C32" s="36"/>
      <c r="D32" s="34" t="s">
        <v>218</v>
      </c>
      <c r="E32" s="94" t="s">
        <v>40</v>
      </c>
      <c r="F32" s="95"/>
      <c r="G32" s="17" t="s">
        <v>115</v>
      </c>
      <c r="H32" s="22" t="s">
        <v>217</v>
      </c>
      <c r="I32" s="48"/>
      <c r="J32" s="41"/>
      <c r="K32" s="12"/>
      <c r="L32" s="12"/>
      <c r="M32" s="49"/>
      <c r="N32" s="42"/>
      <c r="O32" s="43"/>
      <c r="P32" s="13"/>
      <c r="Q32" s="14"/>
      <c r="R32" s="14"/>
    </row>
    <row r="33" spans="1:18" ht="15.75" customHeight="1" outlineLevel="1">
      <c r="A33" s="37" t="s">
        <v>219</v>
      </c>
      <c r="B33" s="34" t="s">
        <v>72</v>
      </c>
      <c r="C33" s="36"/>
      <c r="D33" s="34" t="s">
        <v>220</v>
      </c>
      <c r="E33" s="94" t="s">
        <v>40</v>
      </c>
      <c r="F33" s="95"/>
      <c r="G33" s="17" t="s">
        <v>115</v>
      </c>
      <c r="H33" s="22" t="s">
        <v>219</v>
      </c>
      <c r="I33" s="48"/>
      <c r="J33" s="41"/>
      <c r="K33" s="12"/>
      <c r="L33" s="12"/>
      <c r="M33" s="49"/>
      <c r="N33" s="42"/>
      <c r="O33" s="43"/>
      <c r="P33" s="13"/>
      <c r="Q33" s="14"/>
      <c r="R33" s="14"/>
    </row>
    <row r="34" spans="1:18" ht="15.75" customHeight="1" outlineLevel="1">
      <c r="A34" s="37" t="s">
        <v>221</v>
      </c>
      <c r="B34" s="34" t="s">
        <v>72</v>
      </c>
      <c r="C34" s="36"/>
      <c r="D34" s="16" t="s">
        <v>222</v>
      </c>
      <c r="E34" s="94" t="s">
        <v>40</v>
      </c>
      <c r="F34" s="95"/>
      <c r="G34" s="17" t="s">
        <v>91</v>
      </c>
      <c r="H34" s="22" t="s">
        <v>221</v>
      </c>
      <c r="I34" s="48"/>
      <c r="J34" s="41"/>
      <c r="K34" s="12"/>
      <c r="L34" s="12"/>
      <c r="M34" s="49"/>
      <c r="N34" s="42"/>
      <c r="O34" s="43"/>
      <c r="P34" s="13"/>
      <c r="Q34" s="14"/>
      <c r="R34" s="14"/>
    </row>
    <row r="35" spans="1:18" ht="15.75" customHeight="1" outlineLevel="1">
      <c r="A35" s="37" t="s">
        <v>223</v>
      </c>
      <c r="B35" s="34" t="s">
        <v>72</v>
      </c>
      <c r="C35" s="36"/>
      <c r="D35" s="34" t="s">
        <v>224</v>
      </c>
      <c r="E35" s="94" t="s">
        <v>40</v>
      </c>
      <c r="F35" s="95"/>
      <c r="G35" s="17" t="s">
        <v>91</v>
      </c>
      <c r="H35" s="22" t="s">
        <v>223</v>
      </c>
      <c r="I35" s="48"/>
      <c r="J35" s="41"/>
      <c r="K35" s="12"/>
      <c r="L35" s="12"/>
      <c r="M35" s="49"/>
      <c r="N35" s="42"/>
      <c r="O35" s="43"/>
      <c r="P35" s="13"/>
      <c r="Q35" s="14"/>
      <c r="R35" s="14"/>
    </row>
    <row r="36" spans="1:18" ht="15.75" customHeight="1" outlineLevel="1">
      <c r="A36" s="37" t="s">
        <v>225</v>
      </c>
      <c r="B36" s="34" t="s">
        <v>72</v>
      </c>
      <c r="C36" s="36"/>
      <c r="D36" s="16" t="s">
        <v>226</v>
      </c>
      <c r="E36" s="94" t="s">
        <v>40</v>
      </c>
      <c r="F36" s="95"/>
      <c r="G36" s="17" t="s">
        <v>91</v>
      </c>
      <c r="H36" s="17" t="s">
        <v>225</v>
      </c>
      <c r="I36" s="23"/>
      <c r="J36" s="41"/>
      <c r="K36" s="12"/>
      <c r="L36" s="12"/>
      <c r="M36" s="49"/>
      <c r="N36" s="140"/>
      <c r="O36" s="141"/>
      <c r="P36" s="13"/>
      <c r="Q36" s="14"/>
      <c r="R36" s="14"/>
    </row>
    <row r="37" spans="1:18" ht="15.75" customHeight="1" outlineLevel="1">
      <c r="A37" s="37" t="s">
        <v>227</v>
      </c>
      <c r="B37" s="34" t="s">
        <v>72</v>
      </c>
      <c r="C37" s="36"/>
      <c r="D37" s="34" t="s">
        <v>228</v>
      </c>
      <c r="E37" s="94" t="s">
        <v>40</v>
      </c>
      <c r="F37" s="95"/>
      <c r="G37" s="17" t="s">
        <v>91</v>
      </c>
      <c r="H37" s="17" t="s">
        <v>227</v>
      </c>
      <c r="I37" s="23"/>
      <c r="J37" s="41"/>
      <c r="K37" s="12"/>
      <c r="L37" s="12"/>
      <c r="M37" s="49"/>
      <c r="N37" s="42"/>
      <c r="O37" s="43"/>
      <c r="P37" s="13"/>
      <c r="Q37" s="14"/>
      <c r="R37" s="14"/>
    </row>
    <row r="38" spans="1:18" ht="15.75" customHeight="1" outlineLevel="1">
      <c r="A38" s="37" t="s">
        <v>229</v>
      </c>
      <c r="B38" s="34" t="s">
        <v>72</v>
      </c>
      <c r="C38" s="36"/>
      <c r="D38" s="16" t="s">
        <v>230</v>
      </c>
      <c r="E38" s="94" t="s">
        <v>40</v>
      </c>
      <c r="F38" s="95"/>
      <c r="G38" s="17" t="s">
        <v>91</v>
      </c>
      <c r="H38" s="17" t="s">
        <v>229</v>
      </c>
      <c r="I38" s="23"/>
      <c r="J38" s="41"/>
      <c r="K38" s="12"/>
      <c r="L38" s="12"/>
      <c r="M38" s="49"/>
      <c r="N38" s="140"/>
      <c r="O38" s="141"/>
      <c r="P38" s="13"/>
      <c r="Q38" s="14"/>
      <c r="R38" s="14"/>
    </row>
    <row r="39" spans="1:18" ht="15.75" customHeight="1" outlineLevel="1">
      <c r="A39" s="34" t="s">
        <v>231</v>
      </c>
      <c r="B39" s="34" t="s">
        <v>38</v>
      </c>
      <c r="C39" s="34"/>
      <c r="D39" s="34" t="s">
        <v>232</v>
      </c>
      <c r="E39" s="94" t="s">
        <v>40</v>
      </c>
      <c r="F39" s="95"/>
      <c r="G39" s="17" t="s">
        <v>91</v>
      </c>
      <c r="H39" s="17" t="s">
        <v>231</v>
      </c>
      <c r="I39" s="23"/>
      <c r="J39" s="41"/>
      <c r="K39" s="12"/>
      <c r="L39" s="12"/>
      <c r="M39" s="49"/>
      <c r="N39" s="140"/>
      <c r="O39" s="141"/>
      <c r="P39" s="13"/>
      <c r="Q39" s="14"/>
      <c r="R39" s="14"/>
    </row>
    <row r="40" spans="1:18" ht="15.75" customHeight="1" outlineLevel="1">
      <c r="A40" s="34" t="s">
        <v>233</v>
      </c>
      <c r="B40" s="34" t="s">
        <v>38</v>
      </c>
      <c r="C40" s="34"/>
      <c r="D40" s="34" t="s">
        <v>234</v>
      </c>
      <c r="E40" s="94" t="s">
        <v>40</v>
      </c>
      <c r="F40" s="95"/>
      <c r="G40" s="17" t="s">
        <v>91</v>
      </c>
      <c r="H40" s="17" t="s">
        <v>233</v>
      </c>
      <c r="I40" s="23"/>
      <c r="J40" s="41"/>
      <c r="K40" s="12"/>
      <c r="L40" s="12"/>
      <c r="M40" s="49"/>
      <c r="N40" s="140"/>
      <c r="O40" s="141"/>
      <c r="P40" s="13"/>
      <c r="Q40" s="14"/>
      <c r="R40" s="14"/>
    </row>
    <row r="41" spans="1:18" ht="15.75" customHeight="1" outlineLevel="1">
      <c r="A41" s="82" t="s">
        <v>162</v>
      </c>
      <c r="B41" s="82" t="s">
        <v>38</v>
      </c>
      <c r="C41" s="82"/>
      <c r="D41" s="82" t="s">
        <v>235</v>
      </c>
      <c r="E41" s="96" t="s">
        <v>40</v>
      </c>
      <c r="F41" s="97"/>
      <c r="G41" s="84" t="s">
        <v>91</v>
      </c>
      <c r="H41" s="90" t="s">
        <v>162</v>
      </c>
      <c r="I41" s="85"/>
      <c r="J41" s="41"/>
      <c r="K41" s="12"/>
      <c r="L41" s="12"/>
      <c r="M41" s="49"/>
      <c r="N41" s="140"/>
      <c r="O41" s="141"/>
      <c r="P41" s="13"/>
      <c r="Q41" s="14"/>
      <c r="R41" s="14"/>
    </row>
    <row r="42" spans="1:18" ht="15.75" customHeight="1" outlineLevel="1">
      <c r="A42" s="34" t="s">
        <v>165</v>
      </c>
      <c r="B42" s="34" t="s">
        <v>38</v>
      </c>
      <c r="C42" s="34"/>
      <c r="D42" s="34" t="s">
        <v>236</v>
      </c>
      <c r="E42" s="46" t="s">
        <v>135</v>
      </c>
      <c r="F42" s="47"/>
      <c r="G42" s="88" t="s">
        <v>147</v>
      </c>
      <c r="H42" s="22" t="s">
        <v>167</v>
      </c>
      <c r="I42" s="23" t="s">
        <v>237</v>
      </c>
      <c r="J42" s="41"/>
      <c r="K42" s="12"/>
      <c r="L42" s="12"/>
      <c r="M42" s="49"/>
      <c r="N42" s="42"/>
      <c r="O42" s="43"/>
      <c r="P42" s="13"/>
      <c r="Q42" s="14"/>
      <c r="R42" s="14"/>
    </row>
    <row r="43" spans="1:18" ht="15.75" customHeight="1" outlineLevel="1">
      <c r="A43" s="34" t="s">
        <v>169</v>
      </c>
      <c r="B43" s="34" t="s">
        <v>38</v>
      </c>
      <c r="C43" s="34"/>
      <c r="D43" s="34" t="s">
        <v>238</v>
      </c>
      <c r="E43" s="46" t="s">
        <v>135</v>
      </c>
      <c r="F43" s="47"/>
      <c r="G43" s="88" t="s">
        <v>137</v>
      </c>
      <c r="H43" s="22" t="s">
        <v>162</v>
      </c>
      <c r="I43" s="23" t="s">
        <v>239</v>
      </c>
      <c r="J43" s="41"/>
      <c r="K43" s="12"/>
      <c r="L43" s="12"/>
      <c r="M43" s="49"/>
      <c r="N43" s="42"/>
      <c r="O43" s="43"/>
      <c r="P43" s="13"/>
      <c r="Q43" s="14"/>
      <c r="R43" s="14"/>
    </row>
    <row r="44" spans="1:18" ht="15.75" customHeight="1" outlineLevel="1">
      <c r="A44" s="34" t="s">
        <v>172</v>
      </c>
      <c r="B44" s="34" t="s">
        <v>38</v>
      </c>
      <c r="C44" s="34"/>
      <c r="D44" s="34" t="s">
        <v>240</v>
      </c>
      <c r="E44" s="46" t="s">
        <v>135</v>
      </c>
      <c r="F44" s="47"/>
      <c r="G44" s="88" t="s">
        <v>91</v>
      </c>
      <c r="H44" s="22" t="s">
        <v>162</v>
      </c>
      <c r="I44" s="23" t="s">
        <v>174</v>
      </c>
      <c r="J44" s="41"/>
      <c r="K44" s="12"/>
      <c r="L44" s="12"/>
      <c r="M44" s="49"/>
      <c r="N44" s="42"/>
      <c r="O44" s="43"/>
      <c r="P44" s="13"/>
      <c r="Q44" s="14"/>
      <c r="R44" s="14"/>
    </row>
    <row r="45" spans="1:18" ht="15.75" customHeight="1" outlineLevel="1">
      <c r="A45" s="34" t="s">
        <v>241</v>
      </c>
      <c r="B45" s="34" t="s">
        <v>38</v>
      </c>
      <c r="C45" s="34"/>
      <c r="D45" s="34" t="s">
        <v>242</v>
      </c>
      <c r="E45" s="46" t="s">
        <v>135</v>
      </c>
      <c r="F45" s="47"/>
      <c r="G45" s="88" t="s">
        <v>243</v>
      </c>
      <c r="H45" s="22" t="s">
        <v>244</v>
      </c>
      <c r="I45" s="23" t="s">
        <v>245</v>
      </c>
      <c r="J45" s="41"/>
      <c r="K45" s="12"/>
      <c r="L45" s="12"/>
      <c r="M45" s="49"/>
      <c r="N45" s="42"/>
      <c r="O45" s="43"/>
      <c r="P45" s="13"/>
      <c r="Q45" s="14"/>
      <c r="R45" s="14"/>
    </row>
    <row r="46" spans="1:18" ht="15.75" customHeight="1" outlineLevel="1">
      <c r="A46" s="34" t="s">
        <v>89</v>
      </c>
      <c r="B46" s="34" t="s">
        <v>50</v>
      </c>
      <c r="C46" s="34"/>
      <c r="D46" s="34" t="s">
        <v>246</v>
      </c>
      <c r="E46" s="94" t="s">
        <v>40</v>
      </c>
      <c r="F46" s="95"/>
      <c r="G46" s="17" t="s">
        <v>91</v>
      </c>
      <c r="H46" s="17" t="s">
        <v>89</v>
      </c>
      <c r="I46" s="23"/>
      <c r="J46" s="41"/>
      <c r="K46" s="12"/>
      <c r="L46" s="12"/>
      <c r="M46" s="49"/>
      <c r="N46" s="140"/>
      <c r="O46" s="141"/>
      <c r="P46" s="13"/>
      <c r="Q46" s="14"/>
      <c r="R46" s="14"/>
    </row>
    <row r="47" spans="1:18" ht="15.75" customHeight="1" outlineLevel="1">
      <c r="A47" s="34" t="s">
        <v>247</v>
      </c>
      <c r="B47" s="34" t="s">
        <v>38</v>
      </c>
      <c r="C47" s="34"/>
      <c r="D47" s="34" t="s">
        <v>248</v>
      </c>
      <c r="E47" s="94" t="s">
        <v>40</v>
      </c>
      <c r="F47" s="95"/>
      <c r="G47" s="88" t="s">
        <v>86</v>
      </c>
      <c r="H47" s="22" t="s">
        <v>247</v>
      </c>
      <c r="I47" s="23"/>
      <c r="J47" s="41"/>
      <c r="K47" s="12"/>
      <c r="L47" s="12"/>
      <c r="M47" s="49"/>
      <c r="N47" s="140"/>
      <c r="O47" s="141"/>
      <c r="P47" s="13"/>
      <c r="Q47" s="14"/>
      <c r="R47" s="14"/>
    </row>
    <row r="48" spans="1:18" ht="15.75" customHeight="1" outlineLevel="1">
      <c r="A48" s="37"/>
      <c r="B48" s="34"/>
      <c r="C48" s="36"/>
      <c r="D48" s="35"/>
      <c r="E48" s="94"/>
      <c r="F48" s="95"/>
      <c r="G48" s="17"/>
      <c r="H48" s="22"/>
      <c r="I48" s="23"/>
      <c r="J48" s="41"/>
      <c r="K48" s="12"/>
      <c r="L48" s="12"/>
      <c r="M48" s="45"/>
      <c r="N48" s="42"/>
      <c r="O48" s="43"/>
      <c r="P48" s="13"/>
      <c r="Q48" s="14"/>
      <c r="R48" s="14"/>
    </row>
    <row r="49" spans="1:18" ht="15.75" customHeight="1" outlineLevel="1">
      <c r="A49" s="38" t="s">
        <v>109</v>
      </c>
      <c r="B49" s="39"/>
      <c r="C49" s="40"/>
      <c r="D49" s="9"/>
      <c r="E49" s="94"/>
      <c r="F49" s="95"/>
      <c r="G49" s="17"/>
      <c r="H49" s="25"/>
      <c r="I49" s="24"/>
      <c r="J49" s="51"/>
      <c r="K49" s="3"/>
      <c r="L49" s="3"/>
      <c r="M49" s="49"/>
      <c r="N49" s="142"/>
      <c r="O49" s="143"/>
      <c r="P49" s="4"/>
      <c r="Q49" s="14"/>
      <c r="R49" s="14"/>
    </row>
    <row r="50" spans="1:18" ht="15.75" customHeight="1">
      <c r="E50" s="107"/>
      <c r="F50" s="108"/>
      <c r="G50" s="105"/>
      <c r="H50" s="106"/>
      <c r="I50" s="26"/>
      <c r="N50" s="124"/>
      <c r="O50" s="124"/>
    </row>
    <row r="51" spans="1:18" ht="15.75" customHeight="1"/>
    <row r="52" spans="1:18" ht="15.75" customHeight="1"/>
    <row r="53" spans="1:18" ht="15.75" customHeight="1"/>
    <row r="54" spans="1:18" ht="15.75" customHeight="1"/>
    <row r="55" spans="1:18" ht="15.75" customHeight="1"/>
    <row r="56" spans="1:18" ht="15.75" customHeight="1"/>
    <row r="57" spans="1:18" ht="15.75" customHeight="1"/>
    <row r="58" spans="1:18" ht="15.75" customHeight="1"/>
    <row r="59" spans="1:18" ht="15.75" customHeight="1"/>
    <row r="60" spans="1:18" ht="15.75" customHeight="1"/>
    <row r="61" spans="1:18" ht="15.75" customHeight="1"/>
    <row r="62" spans="1:18" ht="15.75" customHeight="1"/>
    <row r="63" spans="1:18" ht="15.75" customHeight="1"/>
    <row r="64" spans="1:18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</sheetData>
  <autoFilter ref="A8:P49" xr:uid="{00000000-0009-0000-0000-000000000000}"/>
  <mergeCells count="73">
    <mergeCell ref="E19:F19"/>
    <mergeCell ref="E20:F20"/>
    <mergeCell ref="E23:F23"/>
    <mergeCell ref="E24:F24"/>
    <mergeCell ref="E12:F12"/>
    <mergeCell ref="E22:F22"/>
    <mergeCell ref="E21:F21"/>
    <mergeCell ref="Q2:Q5"/>
    <mergeCell ref="C3:C5"/>
    <mergeCell ref="D3:D5"/>
    <mergeCell ref="F3:G3"/>
    <mergeCell ref="F4:G4"/>
    <mergeCell ref="F5:G5"/>
    <mergeCell ref="B7:D7"/>
    <mergeCell ref="E7:I7"/>
    <mergeCell ref="J7:L7"/>
    <mergeCell ref="N7:P7"/>
    <mergeCell ref="E8:F8"/>
    <mergeCell ref="N8:O8"/>
    <mergeCell ref="B1:D1"/>
    <mergeCell ref="E1:I1"/>
    <mergeCell ref="N1:P1"/>
    <mergeCell ref="E2:E6"/>
    <mergeCell ref="F2:G2"/>
    <mergeCell ref="J2:L6"/>
    <mergeCell ref="M2:M6"/>
    <mergeCell ref="N2:N6"/>
    <mergeCell ref="O2:P6"/>
    <mergeCell ref="F6:I6"/>
    <mergeCell ref="E34:F34"/>
    <mergeCell ref="E35:F35"/>
    <mergeCell ref="E37:F37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9:F9"/>
    <mergeCell ref="N9:O9"/>
    <mergeCell ref="E18:F18"/>
    <mergeCell ref="N18:O18"/>
    <mergeCell ref="E17:F17"/>
    <mergeCell ref="E16:F16"/>
    <mergeCell ref="E10:F10"/>
    <mergeCell ref="E11:F11"/>
    <mergeCell ref="E13:F13"/>
    <mergeCell ref="E14:F14"/>
    <mergeCell ref="E15:F15"/>
    <mergeCell ref="E49:F49"/>
    <mergeCell ref="N49:O49"/>
    <mergeCell ref="E50:F50"/>
    <mergeCell ref="G50:H50"/>
    <mergeCell ref="N50:O50"/>
    <mergeCell ref="R2:R5"/>
    <mergeCell ref="E46:F46"/>
    <mergeCell ref="N46:O46"/>
    <mergeCell ref="E48:F48"/>
    <mergeCell ref="E40:F40"/>
    <mergeCell ref="N40:O40"/>
    <mergeCell ref="E41:F41"/>
    <mergeCell ref="N41:O41"/>
    <mergeCell ref="E47:F47"/>
    <mergeCell ref="N47:O47"/>
    <mergeCell ref="E39:F39"/>
    <mergeCell ref="N39:O39"/>
    <mergeCell ref="E36:F36"/>
    <mergeCell ref="N36:O36"/>
    <mergeCell ref="E38:F38"/>
    <mergeCell ref="N38:O38"/>
  </mergeCells>
  <phoneticPr fontId="14" type="noConversion"/>
  <conditionalFormatting sqref="A16:A38">
    <cfRule type="expression" dxfId="85" priority="7">
      <formula>M16 = "On Hold"</formula>
    </cfRule>
  </conditionalFormatting>
  <conditionalFormatting sqref="A39">
    <cfRule type="expression" dxfId="84" priority="4">
      <formula>M41 = "On Hold"</formula>
    </cfRule>
  </conditionalFormatting>
  <conditionalFormatting sqref="A40">
    <cfRule type="expression" dxfId="83" priority="5">
      <formula>M36 = "On Hold"</formula>
    </cfRule>
  </conditionalFormatting>
  <conditionalFormatting sqref="A41 A45:A46 A48:A49">
    <cfRule type="expression" dxfId="82" priority="2">
      <formula>M41 = "On Hold"</formula>
    </cfRule>
  </conditionalFormatting>
  <conditionalFormatting sqref="A47:D47">
    <cfRule type="expression" dxfId="81" priority="1">
      <formula>M47 = "On Hold"</formula>
    </cfRule>
  </conditionalFormatting>
  <conditionalFormatting sqref="B2:B5 J9:P49">
    <cfRule type="cellIs" dxfId="80" priority="15" operator="equal">
      <formula>"Done"</formula>
    </cfRule>
    <cfRule type="cellIs" dxfId="79" priority="16" operator="equal">
      <formula>"On Hold"</formula>
    </cfRule>
    <cfRule type="cellIs" dxfId="78" priority="18" operator="equal">
      <formula>"Ready for Review"</formula>
    </cfRule>
    <cfRule type="cellIs" dxfId="77" priority="19" operator="equal">
      <formula>"In Review"</formula>
    </cfRule>
  </conditionalFormatting>
  <dataValidations count="7">
    <dataValidation type="list" allowBlank="1" sqref="B3 M9:M49" xr:uid="{ED5AB26E-299C-421B-B9E4-1BEEDEF53134}">
      <formula1>Statuses</formula1>
    </dataValidation>
    <dataValidation type="list" allowBlank="1" sqref="B4:B5" xr:uid="{B32E1B9F-F3C2-4666-A310-6A2F5E78346A}">
      <formula1>ETL_Statuses</formula1>
    </dataValidation>
    <dataValidation type="list" allowBlank="1" showErrorMessage="1" sqref="B2" xr:uid="{7E1F6F8E-78C0-4B77-8526-53BC7DD16B6B}">
      <formula1>STT_Statuses</formula1>
    </dataValidation>
    <dataValidation type="list" allowBlank="1" sqref="B9:B46 B48:B49" xr:uid="{7FA6478C-3008-4E1A-8C09-D4CB91DBAED8}">
      <formula1>Data_Types</formula1>
    </dataValidation>
    <dataValidation type="list" allowBlank="1" sqref="E48:E49 E9:E47" xr:uid="{D69072B1-8356-4B10-8E1F-05641CA2D8D5}">
      <formula1>Sources</formula1>
    </dataValidation>
    <dataValidation type="list" allowBlank="1" sqref="P9:P49" xr:uid="{66F1623F-37EE-4118-B8BB-020C210D57B8}">
      <formula1>Versions</formula1>
    </dataValidation>
    <dataValidation type="list" allowBlank="1" sqref="N9:N49" xr:uid="{718B4B8D-02AC-4972-9C4A-4E56853FCE24}">
      <formula1>Categories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CDC36-7E6E-4F07-867D-685BA04DE6D9}">
  <dimension ref="A1:B10"/>
  <sheetViews>
    <sheetView workbookViewId="0">
      <selection activeCell="B10" sqref="B10"/>
    </sheetView>
  </sheetViews>
  <sheetFormatPr defaultRowHeight="12.75"/>
  <cols>
    <col min="1" max="1" width="41.7109375" customWidth="1"/>
  </cols>
  <sheetData>
    <row r="1" spans="1:2">
      <c r="A1" s="34" t="s">
        <v>208</v>
      </c>
    </row>
    <row r="2" spans="1:2">
      <c r="A2" s="34" t="s">
        <v>212</v>
      </c>
    </row>
    <row r="3" spans="1:2">
      <c r="A3" s="34" t="s">
        <v>216</v>
      </c>
    </row>
    <row r="4" spans="1:2">
      <c r="A4" s="34" t="s">
        <v>218</v>
      </c>
    </row>
    <row r="5" spans="1:2">
      <c r="A5" s="34" t="s">
        <v>220</v>
      </c>
    </row>
    <row r="6" spans="1:2">
      <c r="A6" s="16" t="s">
        <v>222</v>
      </c>
    </row>
    <row r="7" spans="1:2">
      <c r="A7" s="34" t="s">
        <v>224</v>
      </c>
    </row>
    <row r="8" spans="1:2">
      <c r="A8" s="16" t="s">
        <v>226</v>
      </c>
    </row>
    <row r="9" spans="1:2">
      <c r="A9" s="34" t="s">
        <v>228</v>
      </c>
      <c r="B9" t="s">
        <v>249</v>
      </c>
    </row>
    <row r="10" spans="1:2">
      <c r="A10" s="16" t="s">
        <v>230</v>
      </c>
      <c r="B10" t="s">
        <v>249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AD5D9-8792-4D59-B8E4-88E7225F004E}">
  <sheetPr>
    <tabColor theme="4" tint="0.59999389629810485"/>
    <outlinePr summaryBelow="0" summaryRight="0"/>
  </sheetPr>
  <dimension ref="A1:R153"/>
  <sheetViews>
    <sheetView zoomScale="110" zoomScaleNormal="110" workbookViewId="0">
      <pane xSplit="1" ySplit="8" topLeftCell="B9" activePane="bottomRight" state="frozen"/>
      <selection pane="bottomRight" activeCell="A14" sqref="A14"/>
      <selection pane="bottomLeft" activeCell="A9" sqref="A9"/>
      <selection pane="topRight" activeCell="B1" sqref="B1"/>
    </sheetView>
  </sheetViews>
  <sheetFormatPr defaultColWidth="12.7109375" defaultRowHeight="15" customHeight="1" outlineLevelRow="1" outlineLevelCol="1"/>
  <cols>
    <col min="1" max="1" width="27" style="18" customWidth="1"/>
    <col min="2" max="2" width="11.85546875" style="18" customWidth="1" outlineLevel="1"/>
    <col min="3" max="3" width="7" style="18" customWidth="1" outlineLevel="1"/>
    <col min="4" max="4" width="28" style="18" customWidth="1" outlineLevel="1"/>
    <col min="5" max="5" width="2.28515625" style="21" customWidth="1"/>
    <col min="6" max="6" width="12.7109375" style="44" customWidth="1" outlineLevel="1"/>
    <col min="7" max="7" width="43.7109375" style="27" customWidth="1" outlineLevel="1"/>
    <col min="8" max="8" width="30.7109375" style="18" customWidth="1" outlineLevel="1"/>
    <col min="9" max="9" width="33.140625" style="18" customWidth="1" outlineLevel="1"/>
    <col min="10" max="10" width="5.85546875" hidden="1" customWidth="1" outlineLevel="1"/>
    <col min="11" max="11" width="5" hidden="1" customWidth="1" outlineLevel="1"/>
    <col min="12" max="12" width="11.7109375" hidden="1" customWidth="1" outlineLevel="1"/>
    <col min="13" max="13" width="2.28515625" customWidth="1"/>
    <col min="14" max="14" width="2.28515625" customWidth="1" collapsed="1"/>
    <col min="15" max="15" width="10.7109375" hidden="1" customWidth="1" outlineLevel="1"/>
    <col min="16" max="16" width="11" hidden="1" customWidth="1" outlineLevel="1"/>
    <col min="17" max="18" width="47.7109375" customWidth="1"/>
  </cols>
  <sheetData>
    <row r="1" spans="1:18" ht="5.25" customHeight="1" outlineLevel="1">
      <c r="A1" s="28"/>
      <c r="B1" s="109"/>
      <c r="C1" s="106"/>
      <c r="D1" s="106"/>
      <c r="E1" s="110"/>
      <c r="F1" s="106"/>
      <c r="G1" s="106"/>
      <c r="H1" s="106"/>
      <c r="I1" s="106"/>
      <c r="J1" s="2"/>
      <c r="K1" s="2"/>
      <c r="L1" s="2"/>
      <c r="M1" s="2"/>
      <c r="N1" s="111"/>
      <c r="O1" s="124"/>
      <c r="P1" s="124"/>
    </row>
    <row r="2" spans="1:18" ht="15.75" customHeight="1" outlineLevel="1">
      <c r="A2" s="29" t="s">
        <v>0</v>
      </c>
      <c r="B2" s="29" t="s">
        <v>1</v>
      </c>
      <c r="C2" s="30"/>
      <c r="D2" s="31" t="s">
        <v>2</v>
      </c>
      <c r="E2" s="112" t="s">
        <v>3</v>
      </c>
      <c r="F2" s="115" t="s">
        <v>4</v>
      </c>
      <c r="G2" s="116"/>
      <c r="H2" s="19" t="s">
        <v>5</v>
      </c>
      <c r="I2" s="20"/>
      <c r="J2" s="117"/>
      <c r="K2" s="125"/>
      <c r="L2" s="126"/>
      <c r="M2" s="118" t="s">
        <v>6</v>
      </c>
      <c r="N2" s="119" t="s">
        <v>7</v>
      </c>
      <c r="O2" s="120"/>
      <c r="P2" s="126"/>
      <c r="Q2" s="127" t="s">
        <v>8</v>
      </c>
      <c r="R2" s="128" t="s">
        <v>9</v>
      </c>
    </row>
    <row r="3" spans="1:18" ht="15.75" customHeight="1" outlineLevel="1">
      <c r="A3" s="29" t="s">
        <v>10</v>
      </c>
      <c r="B3" s="29"/>
      <c r="C3" s="108"/>
      <c r="D3" s="121" t="s">
        <v>250</v>
      </c>
      <c r="E3" s="113"/>
      <c r="F3" s="103" t="s">
        <v>251</v>
      </c>
      <c r="G3" s="104"/>
      <c r="H3" s="19" t="s">
        <v>13</v>
      </c>
      <c r="I3" s="20"/>
      <c r="J3" s="129"/>
      <c r="K3" s="128"/>
      <c r="L3" s="130"/>
      <c r="M3" s="131"/>
      <c r="N3" s="131"/>
      <c r="O3" s="129"/>
      <c r="P3" s="130"/>
      <c r="Q3" s="127"/>
      <c r="R3" s="128"/>
    </row>
    <row r="4" spans="1:18" ht="15.75" customHeight="1" outlineLevel="1">
      <c r="A4" s="29" t="s">
        <v>14</v>
      </c>
      <c r="B4" s="29"/>
      <c r="C4" s="108"/>
      <c r="D4" s="113"/>
      <c r="E4" s="113"/>
      <c r="F4" s="115" t="s">
        <v>15</v>
      </c>
      <c r="G4" s="116"/>
      <c r="H4" s="19" t="s">
        <v>16</v>
      </c>
      <c r="I4" s="20"/>
      <c r="J4" s="129"/>
      <c r="K4" s="128"/>
      <c r="L4" s="130"/>
      <c r="M4" s="131"/>
      <c r="N4" s="131"/>
      <c r="O4" s="129"/>
      <c r="P4" s="130"/>
      <c r="Q4" s="127"/>
      <c r="R4" s="128"/>
    </row>
    <row r="5" spans="1:18" ht="15.75" customHeight="1" outlineLevel="1">
      <c r="A5" s="29" t="s">
        <v>17</v>
      </c>
      <c r="B5" s="29"/>
      <c r="C5" s="108"/>
      <c r="D5" s="114"/>
      <c r="E5" s="113"/>
      <c r="F5" s="103" t="s">
        <v>18</v>
      </c>
      <c r="G5" s="104"/>
      <c r="H5" s="19" t="s">
        <v>19</v>
      </c>
      <c r="I5" s="20"/>
      <c r="J5" s="129"/>
      <c r="K5" s="128"/>
      <c r="L5" s="130"/>
      <c r="M5" s="131"/>
      <c r="N5" s="131"/>
      <c r="O5" s="129"/>
      <c r="P5" s="130"/>
      <c r="Q5" s="132"/>
      <c r="R5" s="133"/>
    </row>
    <row r="6" spans="1:18" ht="15.75" customHeight="1" outlineLevel="1">
      <c r="A6" s="21"/>
      <c r="B6" s="21"/>
      <c r="C6" s="32" t="e" vm="1">
        <v>#VALUE!</v>
      </c>
      <c r="D6" s="21"/>
      <c r="E6" s="114"/>
      <c r="F6" s="108"/>
      <c r="G6" s="108"/>
      <c r="H6" s="108"/>
      <c r="I6" s="108"/>
      <c r="J6" s="134"/>
      <c r="K6" s="135"/>
      <c r="L6" s="136"/>
      <c r="M6" s="137"/>
      <c r="N6" s="137"/>
      <c r="O6" s="134"/>
      <c r="P6" s="136"/>
      <c r="Q6" s="10" t="s">
        <v>20</v>
      </c>
      <c r="R6" s="10" t="s">
        <v>20</v>
      </c>
    </row>
    <row r="7" spans="1:18" ht="15.75" customHeight="1">
      <c r="A7" s="33" t="s">
        <v>21</v>
      </c>
      <c r="B7" s="98" t="s">
        <v>21</v>
      </c>
      <c r="C7" s="99"/>
      <c r="D7" s="99"/>
      <c r="E7" s="100" t="s">
        <v>22</v>
      </c>
      <c r="F7" s="99"/>
      <c r="G7" s="99"/>
      <c r="H7" s="99"/>
      <c r="I7" s="101"/>
      <c r="J7" s="138"/>
      <c r="K7" s="138"/>
      <c r="L7" s="139"/>
      <c r="M7" s="53" t="s">
        <v>23</v>
      </c>
      <c r="N7" s="102" t="s">
        <v>24</v>
      </c>
      <c r="O7" s="138"/>
      <c r="P7" s="139"/>
      <c r="Q7" s="62"/>
      <c r="R7" s="11"/>
    </row>
    <row r="8" spans="1:18" ht="15.75" customHeight="1">
      <c r="A8" s="34" t="s">
        <v>26</v>
      </c>
      <c r="B8" s="34" t="s">
        <v>27</v>
      </c>
      <c r="C8" s="34" t="s">
        <v>28</v>
      </c>
      <c r="D8" s="35" t="s">
        <v>29</v>
      </c>
      <c r="E8" s="94" t="s">
        <v>30</v>
      </c>
      <c r="F8" s="101"/>
      <c r="G8" s="17" t="s">
        <v>31</v>
      </c>
      <c r="H8" s="22" t="s">
        <v>32</v>
      </c>
      <c r="I8" s="23" t="s">
        <v>33</v>
      </c>
      <c r="J8" s="50"/>
      <c r="K8" s="12" t="s">
        <v>31</v>
      </c>
      <c r="L8" s="12" t="s">
        <v>26</v>
      </c>
      <c r="M8" s="52" t="s">
        <v>34</v>
      </c>
      <c r="N8" s="140" t="s">
        <v>35</v>
      </c>
      <c r="O8" s="139"/>
      <c r="P8" s="13" t="s">
        <v>36</v>
      </c>
      <c r="Q8" s="14" t="str">
        <f>"("</f>
        <v>(</v>
      </c>
      <c r="R8" s="14" t="str">
        <f>"("</f>
        <v>(</v>
      </c>
    </row>
    <row r="9" spans="1:18" ht="15.75" customHeight="1">
      <c r="A9" s="37"/>
      <c r="B9" s="34" t="s">
        <v>38</v>
      </c>
      <c r="C9" s="36" t="e" vm="1">
        <v>#VALUE!</v>
      </c>
      <c r="D9" s="35" t="s">
        <v>252</v>
      </c>
      <c r="E9" s="94" t="s">
        <v>40</v>
      </c>
      <c r="F9" s="95"/>
      <c r="G9" s="17" t="s">
        <v>253</v>
      </c>
      <c r="H9" s="23" t="s">
        <v>254</v>
      </c>
      <c r="I9" s="23" t="s">
        <v>255</v>
      </c>
      <c r="J9" s="50"/>
      <c r="K9" s="12"/>
      <c r="L9" s="12"/>
      <c r="M9" s="52"/>
      <c r="N9" s="42"/>
      <c r="O9" s="50"/>
      <c r="P9" s="13"/>
      <c r="Q9" s="14"/>
      <c r="R9" s="14"/>
    </row>
    <row r="10" spans="1:18" ht="15.75" customHeight="1" outlineLevel="1">
      <c r="A10" s="66" t="s">
        <v>256</v>
      </c>
      <c r="B10" s="34" t="s">
        <v>38</v>
      </c>
      <c r="C10" s="36" t="e" vm="1">
        <v>#VALUE!</v>
      </c>
      <c r="D10" s="34" t="s">
        <v>257</v>
      </c>
      <c r="E10" s="94" t="s">
        <v>40</v>
      </c>
      <c r="F10" s="95"/>
      <c r="G10" s="17" t="s">
        <v>253</v>
      </c>
      <c r="H10" s="23" t="s">
        <v>258</v>
      </c>
      <c r="I10" s="23"/>
      <c r="J10" s="41"/>
      <c r="K10" s="12"/>
      <c r="L10" s="12"/>
      <c r="M10" s="49"/>
      <c r="N10" s="140" t="s">
        <v>42</v>
      </c>
      <c r="O10" s="141"/>
      <c r="P10" s="13" t="s">
        <v>43</v>
      </c>
      <c r="Q10" s="14"/>
      <c r="R10" s="14"/>
    </row>
    <row r="11" spans="1:18" ht="15.75" customHeight="1" outlineLevel="1">
      <c r="A11" s="66" t="s">
        <v>259</v>
      </c>
      <c r="B11" s="34" t="s">
        <v>50</v>
      </c>
      <c r="C11" s="36"/>
      <c r="D11" s="34" t="s">
        <v>260</v>
      </c>
      <c r="E11" s="94" t="s">
        <v>40</v>
      </c>
      <c r="F11" s="95"/>
      <c r="G11" s="17" t="s">
        <v>253</v>
      </c>
      <c r="H11" s="23" t="s">
        <v>261</v>
      </c>
      <c r="I11" s="23"/>
      <c r="J11" s="41"/>
      <c r="K11" s="12"/>
      <c r="L11" s="12"/>
      <c r="M11" s="49"/>
      <c r="N11" s="140"/>
      <c r="O11" s="141"/>
      <c r="P11" s="13"/>
      <c r="Q11" s="14"/>
      <c r="R11" s="14"/>
    </row>
    <row r="12" spans="1:18" ht="15.75" customHeight="1" outlineLevel="1">
      <c r="A12" s="66" t="s">
        <v>262</v>
      </c>
      <c r="B12" s="34" t="s">
        <v>38</v>
      </c>
      <c r="C12" s="36"/>
      <c r="D12" s="34" t="s">
        <v>263</v>
      </c>
      <c r="E12" s="94" t="s">
        <v>40</v>
      </c>
      <c r="F12" s="95"/>
      <c r="G12" s="17" t="s">
        <v>253</v>
      </c>
      <c r="H12" s="23" t="s">
        <v>264</v>
      </c>
      <c r="I12" s="23"/>
      <c r="J12" s="41"/>
      <c r="K12" s="12"/>
      <c r="L12" s="12"/>
      <c r="M12" s="49"/>
      <c r="N12" s="140"/>
      <c r="O12" s="141"/>
      <c r="P12" s="13"/>
      <c r="Q12" s="14"/>
      <c r="R12" s="14"/>
    </row>
    <row r="13" spans="1:18" ht="15.75" customHeight="1" outlineLevel="1">
      <c r="A13" s="66" t="s">
        <v>118</v>
      </c>
      <c r="B13" s="34" t="s">
        <v>50</v>
      </c>
      <c r="C13" s="36"/>
      <c r="D13" s="34" t="s">
        <v>119</v>
      </c>
      <c r="E13" s="94" t="s">
        <v>40</v>
      </c>
      <c r="F13" s="95"/>
      <c r="G13" s="17" t="s">
        <v>253</v>
      </c>
      <c r="H13" s="23" t="s">
        <v>265</v>
      </c>
      <c r="I13" s="23"/>
      <c r="J13" s="41"/>
      <c r="K13" s="12"/>
      <c r="L13" s="12"/>
      <c r="M13" s="49"/>
      <c r="N13" s="42"/>
      <c r="O13" s="43"/>
      <c r="P13" s="13"/>
      <c r="Q13" s="14"/>
      <c r="R13" s="14"/>
    </row>
    <row r="14" spans="1:18" ht="15.75" customHeight="1" outlineLevel="1">
      <c r="A14" s="66" t="s">
        <v>266</v>
      </c>
      <c r="B14" s="34" t="s">
        <v>38</v>
      </c>
      <c r="C14" s="36"/>
      <c r="D14" s="34" t="s">
        <v>267</v>
      </c>
      <c r="E14" s="94" t="s">
        <v>40</v>
      </c>
      <c r="F14" s="95"/>
      <c r="G14" s="17" t="s">
        <v>253</v>
      </c>
      <c r="H14" s="23" t="s">
        <v>268</v>
      </c>
      <c r="I14" s="23"/>
      <c r="J14" s="41"/>
      <c r="K14" s="12"/>
      <c r="L14" s="12"/>
      <c r="M14" s="49"/>
      <c r="N14" s="42"/>
      <c r="O14" s="43"/>
      <c r="P14" s="13"/>
      <c r="Q14" s="14"/>
      <c r="R14" s="14"/>
    </row>
    <row r="15" spans="1:18" ht="15.75" customHeight="1" outlineLevel="1">
      <c r="A15" s="66" t="s">
        <v>87</v>
      </c>
      <c r="B15" s="34" t="s">
        <v>50</v>
      </c>
      <c r="C15" s="36"/>
      <c r="D15" s="34" t="s">
        <v>88</v>
      </c>
      <c r="E15" s="94" t="s">
        <v>40</v>
      </c>
      <c r="F15" s="95"/>
      <c r="G15" s="17" t="s">
        <v>86</v>
      </c>
      <c r="H15" s="17" t="s">
        <v>87</v>
      </c>
      <c r="I15" s="23"/>
      <c r="J15" s="41"/>
      <c r="K15" s="12"/>
      <c r="L15" s="12"/>
      <c r="M15" s="49"/>
      <c r="N15" s="42"/>
      <c r="O15" s="43"/>
      <c r="P15" s="13"/>
      <c r="Q15" s="14"/>
      <c r="R15" s="14"/>
    </row>
    <row r="16" spans="1:18" ht="15.75" customHeight="1" outlineLevel="1">
      <c r="A16" s="66" t="s">
        <v>84</v>
      </c>
      <c r="B16" s="34" t="s">
        <v>38</v>
      </c>
      <c r="C16" s="36" t="e" vm="1">
        <v>#VALUE!</v>
      </c>
      <c r="D16" s="34" t="s">
        <v>269</v>
      </c>
      <c r="E16" s="94" t="s">
        <v>40</v>
      </c>
      <c r="F16" s="95"/>
      <c r="G16" s="17" t="s">
        <v>86</v>
      </c>
      <c r="H16" s="17" t="s">
        <v>84</v>
      </c>
      <c r="I16" s="23"/>
      <c r="J16" s="41"/>
      <c r="K16" s="12"/>
      <c r="L16" s="12"/>
      <c r="M16" s="49"/>
      <c r="N16" s="42"/>
      <c r="O16" s="43"/>
      <c r="P16" s="13"/>
      <c r="Q16" s="14"/>
      <c r="R16" s="14"/>
    </row>
    <row r="17" spans="1:18" ht="15.75" customHeight="1" outlineLevel="1">
      <c r="A17" s="66" t="s">
        <v>104</v>
      </c>
      <c r="B17" s="34" t="s">
        <v>50</v>
      </c>
      <c r="C17" s="36" t="e" vm="1">
        <v>#VALUE!</v>
      </c>
      <c r="D17" s="34" t="s">
        <v>105</v>
      </c>
      <c r="E17" s="94" t="s">
        <v>40</v>
      </c>
      <c r="F17" s="95"/>
      <c r="G17" s="17" t="s">
        <v>106</v>
      </c>
      <c r="H17" s="23" t="s">
        <v>104</v>
      </c>
      <c r="I17" s="23"/>
      <c r="J17" s="41"/>
      <c r="K17" s="12"/>
      <c r="L17" s="12"/>
      <c r="M17" s="49"/>
      <c r="N17" s="140"/>
      <c r="O17" s="141"/>
      <c r="P17" s="13"/>
      <c r="Q17" s="14"/>
      <c r="R17" s="14"/>
    </row>
    <row r="18" spans="1:18" ht="15.75" customHeight="1" outlineLevel="1">
      <c r="A18" s="66" t="s">
        <v>107</v>
      </c>
      <c r="B18" s="34" t="s">
        <v>38</v>
      </c>
      <c r="C18" s="36"/>
      <c r="D18" s="16" t="s">
        <v>108</v>
      </c>
      <c r="E18" s="94" t="s">
        <v>40</v>
      </c>
      <c r="F18" s="95"/>
      <c r="G18" s="17" t="s">
        <v>106</v>
      </c>
      <c r="H18" s="23" t="s">
        <v>107</v>
      </c>
      <c r="I18" s="23"/>
      <c r="J18" s="41"/>
      <c r="K18" s="12"/>
      <c r="L18" s="12"/>
      <c r="M18" s="49"/>
      <c r="N18" s="140"/>
      <c r="O18" s="141"/>
      <c r="P18" s="13"/>
      <c r="Q18" s="14"/>
      <c r="R18" s="14"/>
    </row>
    <row r="19" spans="1:18" ht="15.75" customHeight="1" outlineLevel="1">
      <c r="A19" s="66" t="s">
        <v>99</v>
      </c>
      <c r="B19" s="34" t="s">
        <v>72</v>
      </c>
      <c r="C19" s="36" t="e" vm="1">
        <v>#VALUE!</v>
      </c>
      <c r="D19" s="16" t="s">
        <v>100</v>
      </c>
      <c r="E19" s="94" t="s">
        <v>40</v>
      </c>
      <c r="F19" s="95"/>
      <c r="G19" s="17" t="s">
        <v>137</v>
      </c>
      <c r="H19" s="23" t="s">
        <v>99</v>
      </c>
      <c r="I19" s="23"/>
      <c r="J19" s="41"/>
      <c r="K19" s="12"/>
      <c r="L19" s="12"/>
      <c r="M19" s="49"/>
      <c r="N19" s="42"/>
      <c r="O19" s="43"/>
      <c r="P19" s="13"/>
      <c r="Q19" s="14"/>
      <c r="R19" s="14"/>
    </row>
    <row r="20" spans="1:18" ht="15.75" customHeight="1" outlineLevel="1">
      <c r="A20" s="66" t="s">
        <v>102</v>
      </c>
      <c r="B20" s="34" t="s">
        <v>38</v>
      </c>
      <c r="C20" s="36"/>
      <c r="D20" s="16" t="s">
        <v>103</v>
      </c>
      <c r="E20" s="94" t="s">
        <v>40</v>
      </c>
      <c r="F20" s="95"/>
      <c r="G20" s="17" t="s">
        <v>137</v>
      </c>
      <c r="H20" s="23" t="s">
        <v>102</v>
      </c>
      <c r="I20" s="23"/>
      <c r="J20" s="41"/>
      <c r="K20" s="12"/>
      <c r="L20" s="12"/>
      <c r="M20" s="49"/>
      <c r="N20" s="42"/>
      <c r="O20" s="43"/>
      <c r="P20" s="13"/>
      <c r="Q20" s="14"/>
      <c r="R20" s="14"/>
    </row>
    <row r="21" spans="1:18" ht="15.75" customHeight="1" outlineLevel="1">
      <c r="A21" s="66" t="s">
        <v>89</v>
      </c>
      <c r="B21" s="34" t="s">
        <v>50</v>
      </c>
      <c r="C21" s="36"/>
      <c r="D21" s="65" t="s">
        <v>90</v>
      </c>
      <c r="E21" s="94" t="s">
        <v>40</v>
      </c>
      <c r="F21" s="95"/>
      <c r="G21" s="17" t="s">
        <v>91</v>
      </c>
      <c r="H21" s="23" t="s">
        <v>89</v>
      </c>
      <c r="I21" s="23"/>
      <c r="J21" s="41"/>
      <c r="K21" s="12"/>
      <c r="L21" s="12"/>
      <c r="M21" s="49"/>
      <c r="N21" s="42"/>
      <c r="O21" s="43"/>
      <c r="P21" s="13"/>
      <c r="Q21" s="14"/>
      <c r="R21" s="14"/>
    </row>
    <row r="22" spans="1:18" ht="15.75" customHeight="1" outlineLevel="1">
      <c r="A22" s="66"/>
      <c r="B22" s="34"/>
      <c r="C22" s="36"/>
      <c r="D22" s="16"/>
      <c r="E22" s="94"/>
      <c r="F22" s="95"/>
      <c r="G22" s="17"/>
      <c r="H22" s="23"/>
      <c r="I22" s="23"/>
      <c r="J22" s="41"/>
      <c r="K22" s="12"/>
      <c r="L22" s="12"/>
      <c r="M22" s="49"/>
      <c r="N22" s="42"/>
      <c r="O22" s="43"/>
      <c r="P22" s="13"/>
      <c r="Q22" s="14"/>
      <c r="R22" s="14"/>
    </row>
    <row r="23" spans="1:18" ht="15.75" customHeight="1" outlineLevel="1">
      <c r="A23" s="66"/>
      <c r="B23" s="34"/>
      <c r="C23" s="36"/>
      <c r="D23" s="16"/>
      <c r="E23" s="94"/>
      <c r="F23" s="95"/>
      <c r="G23" s="17"/>
      <c r="H23" s="23"/>
      <c r="I23" s="23"/>
      <c r="J23" s="41"/>
      <c r="K23" s="12"/>
      <c r="L23" s="12"/>
      <c r="M23" s="49"/>
      <c r="N23" s="42"/>
      <c r="O23" s="43"/>
      <c r="P23" s="13"/>
      <c r="Q23" s="14"/>
      <c r="R23" s="14"/>
    </row>
    <row r="24" spans="1:18" ht="15.75" customHeight="1" outlineLevel="1">
      <c r="A24" s="56"/>
      <c r="B24" s="58"/>
      <c r="C24" s="59"/>
      <c r="D24" s="80"/>
      <c r="E24" s="46"/>
      <c r="F24" s="47"/>
      <c r="G24" s="17"/>
      <c r="H24" s="61"/>
      <c r="I24" s="23"/>
      <c r="J24" s="41"/>
      <c r="K24" s="12"/>
      <c r="L24" s="12"/>
      <c r="M24" s="49"/>
      <c r="N24" s="42"/>
      <c r="O24" s="43"/>
      <c r="P24" s="13"/>
      <c r="Q24" s="14"/>
      <c r="R24" s="14"/>
    </row>
    <row r="25" spans="1:18" ht="15.75" customHeight="1" outlineLevel="1">
      <c r="A25" s="37"/>
      <c r="B25" s="34"/>
      <c r="C25" s="36"/>
      <c r="D25" s="34"/>
      <c r="E25" s="94"/>
      <c r="F25" s="95"/>
      <c r="G25" s="17"/>
      <c r="H25" s="22"/>
      <c r="I25" s="23"/>
      <c r="J25" s="41"/>
      <c r="K25" s="12"/>
      <c r="L25" s="12"/>
      <c r="M25" s="45"/>
      <c r="N25" s="140"/>
      <c r="O25" s="141"/>
      <c r="P25" s="13"/>
      <c r="Q25" s="14"/>
      <c r="R25" s="14"/>
    </row>
    <row r="26" spans="1:18" ht="15.75" customHeight="1" outlineLevel="1">
      <c r="A26" s="38" t="s">
        <v>109</v>
      </c>
      <c r="B26" s="39"/>
      <c r="C26" s="40"/>
      <c r="D26" s="9"/>
      <c r="E26" s="94"/>
      <c r="F26" s="95"/>
      <c r="G26" s="17"/>
      <c r="H26" s="25"/>
      <c r="I26" s="24"/>
      <c r="J26" s="51"/>
      <c r="K26" s="3"/>
      <c r="L26" s="3"/>
      <c r="M26" s="49"/>
      <c r="N26" s="142"/>
      <c r="O26" s="143"/>
      <c r="P26" s="4"/>
      <c r="Q26" s="14"/>
      <c r="R26" s="14"/>
    </row>
    <row r="27" spans="1:18" ht="15.75" customHeight="1">
      <c r="E27" s="107"/>
      <c r="F27" s="108"/>
      <c r="G27" s="105"/>
      <c r="H27" s="106"/>
      <c r="I27" s="26"/>
      <c r="N27" s="124"/>
      <c r="O27" s="124"/>
    </row>
    <row r="28" spans="1:18" ht="15.75" customHeight="1"/>
    <row r="29" spans="1:18" ht="15.75" customHeight="1"/>
    <row r="30" spans="1:18" ht="15.75" customHeight="1"/>
    <row r="31" spans="1:18" ht="15.75" customHeight="1"/>
    <row r="32" spans="1:18" ht="15.75" customHeight="1"/>
    <row r="33" spans="5:18" ht="15.75" customHeight="1"/>
    <row r="34" spans="5:18" ht="15.75" customHeight="1"/>
    <row r="35" spans="5:18" ht="15.75" customHeight="1"/>
    <row r="36" spans="5:18" ht="15.75" customHeight="1"/>
    <row r="37" spans="5:18" ht="15.75" customHeight="1"/>
    <row r="38" spans="5:18" ht="15.75" customHeight="1"/>
    <row r="39" spans="5:18" ht="15.75" customHeight="1"/>
    <row r="40" spans="5:18" s="18" customFormat="1" ht="15.75" customHeight="1">
      <c r="E40" s="21"/>
      <c r="F40" s="44"/>
      <c r="G40" s="27"/>
      <c r="J40"/>
      <c r="K40"/>
      <c r="L40"/>
      <c r="M40"/>
      <c r="N40"/>
      <c r="O40"/>
      <c r="P40"/>
      <c r="Q40"/>
      <c r="R40"/>
    </row>
    <row r="41" spans="5:18" s="18" customFormat="1" ht="15.75" customHeight="1">
      <c r="E41" s="21"/>
      <c r="F41" s="44"/>
      <c r="G41" s="27"/>
      <c r="J41"/>
      <c r="K41"/>
      <c r="L41"/>
      <c r="M41"/>
      <c r="N41"/>
      <c r="O41"/>
      <c r="P41"/>
      <c r="Q41"/>
      <c r="R41"/>
    </row>
    <row r="42" spans="5:18" s="18" customFormat="1" ht="15.75" customHeight="1">
      <c r="E42" s="21"/>
      <c r="F42" s="44"/>
      <c r="G42" s="27"/>
      <c r="J42"/>
      <c r="K42"/>
      <c r="L42"/>
      <c r="M42"/>
      <c r="N42"/>
      <c r="O42"/>
      <c r="P42"/>
      <c r="Q42"/>
      <c r="R42"/>
    </row>
    <row r="43" spans="5:18" s="18" customFormat="1" ht="15.75" customHeight="1">
      <c r="E43" s="21"/>
      <c r="F43" s="44"/>
      <c r="G43" s="27"/>
      <c r="J43"/>
      <c r="K43"/>
      <c r="L43"/>
      <c r="M43"/>
      <c r="N43"/>
      <c r="O43"/>
      <c r="P43"/>
      <c r="Q43"/>
      <c r="R43"/>
    </row>
    <row r="44" spans="5:18" s="18" customFormat="1" ht="15.75" customHeight="1">
      <c r="E44" s="21"/>
      <c r="F44" s="44"/>
      <c r="G44" s="27"/>
      <c r="J44"/>
      <c r="K44"/>
      <c r="L44"/>
      <c r="M44"/>
      <c r="N44"/>
      <c r="O44"/>
      <c r="P44"/>
      <c r="Q44"/>
      <c r="R44"/>
    </row>
    <row r="45" spans="5:18" s="18" customFormat="1" ht="15.75" customHeight="1">
      <c r="E45" s="21"/>
      <c r="F45" s="44"/>
      <c r="G45" s="27"/>
      <c r="J45"/>
      <c r="K45"/>
      <c r="L45"/>
      <c r="M45"/>
      <c r="N45"/>
      <c r="O45"/>
      <c r="P45"/>
      <c r="Q45"/>
      <c r="R45"/>
    </row>
    <row r="46" spans="5:18" s="18" customFormat="1" ht="15.75" customHeight="1">
      <c r="E46" s="21"/>
      <c r="F46" s="44"/>
      <c r="G46" s="27"/>
      <c r="J46"/>
      <c r="K46"/>
      <c r="L46"/>
      <c r="M46"/>
      <c r="N46"/>
      <c r="O46"/>
      <c r="P46"/>
      <c r="Q46"/>
      <c r="R46"/>
    </row>
    <row r="47" spans="5:18" s="18" customFormat="1" ht="15.75" customHeight="1">
      <c r="E47" s="21"/>
      <c r="F47" s="44"/>
      <c r="G47" s="27"/>
      <c r="J47"/>
      <c r="K47"/>
      <c r="L47"/>
      <c r="M47"/>
      <c r="N47"/>
      <c r="O47"/>
      <c r="P47"/>
      <c r="Q47"/>
      <c r="R47"/>
    </row>
    <row r="48" spans="5:18" s="18" customFormat="1" ht="15.75" customHeight="1">
      <c r="E48" s="21"/>
      <c r="F48" s="44"/>
      <c r="G48" s="27"/>
      <c r="J48"/>
      <c r="K48"/>
      <c r="L48"/>
      <c r="M48"/>
      <c r="N48"/>
      <c r="O48"/>
      <c r="P48"/>
      <c r="Q48"/>
      <c r="R48"/>
    </row>
    <row r="49" spans="5:18" s="18" customFormat="1" ht="15.75" customHeight="1">
      <c r="E49" s="21"/>
      <c r="F49" s="44"/>
      <c r="G49" s="27"/>
      <c r="J49"/>
      <c r="K49"/>
      <c r="L49"/>
      <c r="M49"/>
      <c r="N49"/>
      <c r="O49"/>
      <c r="P49"/>
      <c r="Q49"/>
      <c r="R49"/>
    </row>
    <row r="50" spans="5:18" s="18" customFormat="1" ht="15.75" customHeight="1">
      <c r="E50" s="21"/>
      <c r="F50" s="44"/>
      <c r="G50" s="27"/>
      <c r="J50"/>
      <c r="K50"/>
      <c r="L50"/>
      <c r="M50"/>
      <c r="N50"/>
      <c r="O50"/>
      <c r="P50"/>
      <c r="Q50"/>
      <c r="R50"/>
    </row>
    <row r="51" spans="5:18" s="18" customFormat="1" ht="15.75" customHeight="1">
      <c r="E51" s="21"/>
      <c r="F51" s="44"/>
      <c r="G51" s="27"/>
      <c r="J51"/>
      <c r="K51"/>
      <c r="L51"/>
      <c r="M51"/>
      <c r="N51"/>
      <c r="O51"/>
      <c r="P51"/>
      <c r="Q51"/>
      <c r="R51"/>
    </row>
    <row r="52" spans="5:18" s="18" customFormat="1" ht="15.75" customHeight="1">
      <c r="E52" s="21"/>
      <c r="F52" s="44"/>
      <c r="G52" s="27"/>
      <c r="J52"/>
      <c r="K52"/>
      <c r="L52"/>
      <c r="M52"/>
      <c r="N52"/>
      <c r="O52"/>
      <c r="P52"/>
      <c r="Q52"/>
      <c r="R52"/>
    </row>
    <row r="53" spans="5:18" s="18" customFormat="1" ht="15.75" customHeight="1">
      <c r="E53" s="21"/>
      <c r="F53" s="44"/>
      <c r="G53" s="27"/>
      <c r="J53"/>
      <c r="K53"/>
      <c r="L53"/>
      <c r="M53"/>
      <c r="N53"/>
      <c r="O53"/>
      <c r="P53"/>
      <c r="Q53"/>
      <c r="R53"/>
    </row>
    <row r="54" spans="5:18" s="18" customFormat="1" ht="15.75" customHeight="1">
      <c r="E54" s="21"/>
      <c r="F54" s="44"/>
      <c r="G54" s="27"/>
      <c r="J54"/>
      <c r="K54"/>
      <c r="L54"/>
      <c r="M54"/>
      <c r="N54"/>
      <c r="O54"/>
      <c r="P54"/>
      <c r="Q54"/>
      <c r="R54"/>
    </row>
    <row r="55" spans="5:18" s="18" customFormat="1" ht="15.75" customHeight="1">
      <c r="E55" s="21"/>
      <c r="F55" s="44"/>
      <c r="G55" s="27"/>
      <c r="J55"/>
      <c r="K55"/>
      <c r="L55"/>
      <c r="M55"/>
      <c r="N55"/>
      <c r="O55"/>
      <c r="P55"/>
      <c r="Q55"/>
      <c r="R55"/>
    </row>
    <row r="56" spans="5:18" s="18" customFormat="1" ht="15.75" customHeight="1">
      <c r="E56" s="21"/>
      <c r="F56" s="44"/>
      <c r="G56" s="27"/>
      <c r="J56"/>
      <c r="K56"/>
      <c r="L56"/>
      <c r="M56"/>
      <c r="N56"/>
      <c r="O56"/>
      <c r="P56"/>
      <c r="Q56"/>
      <c r="R56"/>
    </row>
    <row r="57" spans="5:18" s="18" customFormat="1" ht="15.75" customHeight="1">
      <c r="E57" s="21"/>
      <c r="F57" s="44"/>
      <c r="G57" s="27"/>
      <c r="J57"/>
      <c r="K57"/>
      <c r="L57"/>
      <c r="M57"/>
      <c r="N57"/>
      <c r="O57"/>
      <c r="P57"/>
      <c r="Q57"/>
      <c r="R57"/>
    </row>
    <row r="58" spans="5:18" s="18" customFormat="1" ht="15.75" customHeight="1">
      <c r="E58" s="21"/>
      <c r="F58" s="44"/>
      <c r="G58" s="27"/>
      <c r="J58"/>
      <c r="K58"/>
      <c r="L58"/>
      <c r="M58"/>
      <c r="N58"/>
      <c r="O58"/>
      <c r="P58"/>
      <c r="Q58"/>
      <c r="R58"/>
    </row>
    <row r="59" spans="5:18" s="18" customFormat="1" ht="15.75" customHeight="1">
      <c r="E59" s="21"/>
      <c r="F59" s="44"/>
      <c r="G59" s="27"/>
      <c r="J59"/>
      <c r="K59"/>
      <c r="L59"/>
      <c r="M59"/>
      <c r="N59"/>
      <c r="O59"/>
      <c r="P59"/>
      <c r="Q59"/>
      <c r="R59"/>
    </row>
    <row r="60" spans="5:18" s="18" customFormat="1" ht="15.75" customHeight="1">
      <c r="E60" s="21"/>
      <c r="F60" s="44"/>
      <c r="G60" s="27"/>
      <c r="J60"/>
      <c r="K60"/>
      <c r="L60"/>
      <c r="M60"/>
      <c r="N60"/>
      <c r="O60"/>
      <c r="P60"/>
      <c r="Q60"/>
      <c r="R60"/>
    </row>
    <row r="61" spans="5:18" s="18" customFormat="1" ht="15.75" customHeight="1">
      <c r="E61" s="21"/>
      <c r="F61" s="44"/>
      <c r="G61" s="27"/>
      <c r="J61"/>
      <c r="K61"/>
      <c r="L61"/>
      <c r="M61"/>
      <c r="N61"/>
      <c r="O61"/>
      <c r="P61"/>
      <c r="Q61"/>
      <c r="R61"/>
    </row>
    <row r="62" spans="5:18" s="18" customFormat="1" ht="15.75" customHeight="1">
      <c r="E62" s="21"/>
      <c r="F62" s="44"/>
      <c r="G62" s="27"/>
      <c r="J62"/>
      <c r="K62"/>
      <c r="L62"/>
      <c r="M62"/>
      <c r="N62"/>
      <c r="O62"/>
      <c r="P62"/>
      <c r="Q62"/>
      <c r="R62"/>
    </row>
    <row r="63" spans="5:18" s="18" customFormat="1" ht="15.75" customHeight="1">
      <c r="E63" s="21"/>
      <c r="F63" s="44"/>
      <c r="G63" s="27"/>
      <c r="J63"/>
      <c r="K63"/>
      <c r="L63"/>
      <c r="M63"/>
      <c r="N63"/>
      <c r="O63"/>
      <c r="P63"/>
      <c r="Q63"/>
      <c r="R63"/>
    </row>
    <row r="64" spans="5:18" s="18" customFormat="1" ht="15.75" customHeight="1">
      <c r="E64" s="21"/>
      <c r="F64" s="44"/>
      <c r="G64" s="27"/>
      <c r="J64"/>
      <c r="K64"/>
      <c r="L64"/>
      <c r="M64"/>
      <c r="N64"/>
      <c r="O64"/>
      <c r="P64"/>
      <c r="Q64"/>
      <c r="R64"/>
    </row>
    <row r="65" spans="5:18" s="18" customFormat="1" ht="15.75" customHeight="1">
      <c r="E65" s="21"/>
      <c r="F65" s="44"/>
      <c r="G65" s="27"/>
      <c r="J65"/>
      <c r="K65"/>
      <c r="L65"/>
      <c r="M65"/>
      <c r="N65"/>
      <c r="O65"/>
      <c r="P65"/>
      <c r="Q65"/>
      <c r="R65"/>
    </row>
    <row r="66" spans="5:18" s="18" customFormat="1" ht="15.75" customHeight="1">
      <c r="E66" s="21"/>
      <c r="F66" s="44"/>
      <c r="G66" s="27"/>
      <c r="J66"/>
      <c r="K66"/>
      <c r="L66"/>
      <c r="M66"/>
      <c r="N66"/>
      <c r="O66"/>
      <c r="P66"/>
      <c r="Q66"/>
      <c r="R66"/>
    </row>
    <row r="67" spans="5:18" s="18" customFormat="1" ht="15.75" customHeight="1">
      <c r="E67" s="21"/>
      <c r="F67" s="44"/>
      <c r="G67" s="27"/>
      <c r="J67"/>
      <c r="K67"/>
      <c r="L67"/>
      <c r="M67"/>
      <c r="N67"/>
      <c r="O67"/>
      <c r="P67"/>
      <c r="Q67"/>
      <c r="R67"/>
    </row>
    <row r="68" spans="5:18" s="18" customFormat="1" ht="15.75" customHeight="1">
      <c r="E68" s="21"/>
      <c r="F68" s="44"/>
      <c r="G68" s="27"/>
      <c r="J68"/>
      <c r="K68"/>
      <c r="L68"/>
      <c r="M68"/>
      <c r="N68"/>
      <c r="O68"/>
      <c r="P68"/>
      <c r="Q68"/>
      <c r="R68"/>
    </row>
    <row r="69" spans="5:18" s="18" customFormat="1" ht="15.75" customHeight="1">
      <c r="E69" s="21"/>
      <c r="F69" s="44"/>
      <c r="G69" s="27"/>
      <c r="J69"/>
      <c r="K69"/>
      <c r="L69"/>
      <c r="M69"/>
      <c r="N69"/>
      <c r="O69"/>
      <c r="P69"/>
      <c r="Q69"/>
      <c r="R69"/>
    </row>
    <row r="70" spans="5:18" s="18" customFormat="1" ht="15.75" customHeight="1">
      <c r="E70" s="21"/>
      <c r="F70" s="44"/>
      <c r="G70" s="27"/>
      <c r="J70"/>
      <c r="K70"/>
      <c r="L70"/>
      <c r="M70"/>
      <c r="N70"/>
      <c r="O70"/>
      <c r="P70"/>
      <c r="Q70"/>
      <c r="R70"/>
    </row>
    <row r="71" spans="5:18" s="18" customFormat="1" ht="15.75" customHeight="1">
      <c r="E71" s="21"/>
      <c r="F71" s="44"/>
      <c r="G71" s="27"/>
      <c r="J71"/>
      <c r="K71"/>
      <c r="L71"/>
      <c r="M71"/>
      <c r="N71"/>
      <c r="O71"/>
      <c r="P71"/>
      <c r="Q71"/>
      <c r="R71"/>
    </row>
    <row r="72" spans="5:18" s="18" customFormat="1" ht="15.75" customHeight="1">
      <c r="E72" s="21"/>
      <c r="F72" s="44"/>
      <c r="G72" s="27"/>
      <c r="J72"/>
      <c r="K72"/>
      <c r="L72"/>
      <c r="M72"/>
      <c r="N72"/>
      <c r="O72"/>
      <c r="P72"/>
      <c r="Q72"/>
      <c r="R72"/>
    </row>
    <row r="73" spans="5:18" s="18" customFormat="1" ht="15.75" customHeight="1">
      <c r="E73" s="21"/>
      <c r="F73" s="44"/>
      <c r="G73" s="27"/>
      <c r="J73"/>
      <c r="K73"/>
      <c r="L73"/>
      <c r="M73"/>
      <c r="N73"/>
      <c r="O73"/>
      <c r="P73"/>
      <c r="Q73"/>
      <c r="R73"/>
    </row>
    <row r="74" spans="5:18" s="18" customFormat="1" ht="15.75" customHeight="1">
      <c r="E74" s="21"/>
      <c r="F74" s="44"/>
      <c r="G74" s="27"/>
      <c r="J74"/>
      <c r="K74"/>
      <c r="L74"/>
      <c r="M74"/>
      <c r="N74"/>
      <c r="O74"/>
      <c r="P74"/>
      <c r="Q74"/>
      <c r="R74"/>
    </row>
    <row r="75" spans="5:18" s="18" customFormat="1" ht="15.75" customHeight="1">
      <c r="E75" s="21"/>
      <c r="F75" s="44"/>
      <c r="G75" s="27"/>
      <c r="J75"/>
      <c r="K75"/>
      <c r="L75"/>
      <c r="M75"/>
      <c r="N75"/>
      <c r="O75"/>
      <c r="P75"/>
      <c r="Q75"/>
      <c r="R75"/>
    </row>
    <row r="76" spans="5:18" s="18" customFormat="1" ht="15.75" customHeight="1">
      <c r="E76" s="21"/>
      <c r="F76" s="44"/>
      <c r="G76" s="27"/>
      <c r="J76"/>
      <c r="K76"/>
      <c r="L76"/>
      <c r="M76"/>
      <c r="N76"/>
      <c r="O76"/>
      <c r="P76"/>
      <c r="Q76"/>
      <c r="R76"/>
    </row>
    <row r="77" spans="5:18" s="18" customFormat="1" ht="15.75" customHeight="1">
      <c r="E77" s="21"/>
      <c r="F77" s="44"/>
      <c r="G77" s="27"/>
      <c r="J77"/>
      <c r="K77"/>
      <c r="L77"/>
      <c r="M77"/>
      <c r="N77"/>
      <c r="O77"/>
      <c r="P77"/>
      <c r="Q77"/>
      <c r="R77"/>
    </row>
    <row r="78" spans="5:18" s="18" customFormat="1" ht="15.75" customHeight="1">
      <c r="E78" s="21"/>
      <c r="F78" s="44"/>
      <c r="G78" s="27"/>
      <c r="J78"/>
      <c r="K78"/>
      <c r="L78"/>
      <c r="M78"/>
      <c r="N78"/>
      <c r="O78"/>
      <c r="P78"/>
      <c r="Q78"/>
      <c r="R78"/>
    </row>
    <row r="79" spans="5:18" s="18" customFormat="1" ht="15.75" customHeight="1">
      <c r="E79" s="21"/>
      <c r="F79" s="44"/>
      <c r="G79" s="27"/>
      <c r="J79"/>
      <c r="K79"/>
      <c r="L79"/>
      <c r="M79"/>
      <c r="N79"/>
      <c r="O79"/>
      <c r="P79"/>
      <c r="Q79"/>
      <c r="R79"/>
    </row>
    <row r="80" spans="5:18" s="18" customFormat="1" ht="15.75" customHeight="1">
      <c r="E80" s="21"/>
      <c r="F80" s="44"/>
      <c r="G80" s="27"/>
      <c r="J80"/>
      <c r="K80"/>
      <c r="L80"/>
      <c r="M80"/>
      <c r="N80"/>
      <c r="O80"/>
      <c r="P80"/>
      <c r="Q80"/>
      <c r="R80"/>
    </row>
    <row r="81" spans="5:18" s="18" customFormat="1" ht="15.75" customHeight="1">
      <c r="E81" s="21"/>
      <c r="F81" s="44"/>
      <c r="G81" s="27"/>
      <c r="J81"/>
      <c r="K81"/>
      <c r="L81"/>
      <c r="M81"/>
      <c r="N81"/>
      <c r="O81"/>
      <c r="P81"/>
      <c r="Q81"/>
      <c r="R81"/>
    </row>
    <row r="82" spans="5:18" s="18" customFormat="1" ht="15.75" customHeight="1">
      <c r="E82" s="21"/>
      <c r="F82" s="44"/>
      <c r="G82" s="27"/>
      <c r="J82"/>
      <c r="K82"/>
      <c r="L82"/>
      <c r="M82"/>
      <c r="N82"/>
      <c r="O82"/>
      <c r="P82"/>
      <c r="Q82"/>
      <c r="R82"/>
    </row>
    <row r="83" spans="5:18" s="18" customFormat="1" ht="15.75" customHeight="1">
      <c r="E83" s="21"/>
      <c r="F83" s="44"/>
      <c r="G83" s="27"/>
      <c r="J83"/>
      <c r="K83"/>
      <c r="L83"/>
      <c r="M83"/>
      <c r="N83"/>
      <c r="O83"/>
      <c r="P83"/>
      <c r="Q83"/>
      <c r="R83"/>
    </row>
    <row r="84" spans="5:18" s="18" customFormat="1" ht="15.75" customHeight="1">
      <c r="E84" s="21"/>
      <c r="F84" s="44"/>
      <c r="G84" s="27"/>
      <c r="J84"/>
      <c r="K84"/>
      <c r="L84"/>
      <c r="M84"/>
      <c r="N84"/>
      <c r="O84"/>
      <c r="P84"/>
      <c r="Q84"/>
      <c r="R84"/>
    </row>
    <row r="85" spans="5:18" s="18" customFormat="1" ht="15.75" customHeight="1">
      <c r="E85" s="21"/>
      <c r="F85" s="44"/>
      <c r="G85" s="27"/>
      <c r="J85"/>
      <c r="K85"/>
      <c r="L85"/>
      <c r="M85"/>
      <c r="N85"/>
      <c r="O85"/>
      <c r="P85"/>
      <c r="Q85"/>
      <c r="R85"/>
    </row>
    <row r="86" spans="5:18" s="18" customFormat="1" ht="15.75" customHeight="1">
      <c r="E86" s="21"/>
      <c r="F86" s="44"/>
      <c r="G86" s="27"/>
      <c r="J86"/>
      <c r="K86"/>
      <c r="L86"/>
      <c r="M86"/>
      <c r="N86"/>
      <c r="O86"/>
      <c r="P86"/>
      <c r="Q86"/>
      <c r="R86"/>
    </row>
    <row r="87" spans="5:18" s="18" customFormat="1" ht="15.75" customHeight="1">
      <c r="E87" s="21"/>
      <c r="F87" s="44"/>
      <c r="G87" s="27"/>
      <c r="J87"/>
      <c r="K87"/>
      <c r="L87"/>
      <c r="M87"/>
      <c r="N87"/>
      <c r="O87"/>
      <c r="P87"/>
      <c r="Q87"/>
      <c r="R87"/>
    </row>
    <row r="88" spans="5:18" s="18" customFormat="1" ht="15.75" customHeight="1">
      <c r="E88" s="21"/>
      <c r="F88" s="44"/>
      <c r="G88" s="27"/>
      <c r="J88"/>
      <c r="K88"/>
      <c r="L88"/>
      <c r="M88"/>
      <c r="N88"/>
      <c r="O88"/>
      <c r="P88"/>
      <c r="Q88"/>
      <c r="R88"/>
    </row>
    <row r="89" spans="5:18" s="18" customFormat="1" ht="15.75" customHeight="1">
      <c r="E89" s="21"/>
      <c r="F89" s="44"/>
      <c r="G89" s="27"/>
      <c r="J89"/>
      <c r="K89"/>
      <c r="L89"/>
      <c r="M89"/>
      <c r="N89"/>
      <c r="O89"/>
      <c r="P89"/>
      <c r="Q89"/>
      <c r="R89"/>
    </row>
    <row r="90" spans="5:18" s="18" customFormat="1" ht="15.75" customHeight="1">
      <c r="E90" s="21"/>
      <c r="F90" s="44"/>
      <c r="G90" s="27"/>
      <c r="J90"/>
      <c r="K90"/>
      <c r="L90"/>
      <c r="M90"/>
      <c r="N90"/>
      <c r="O90"/>
      <c r="P90"/>
      <c r="Q90"/>
      <c r="R90"/>
    </row>
    <row r="91" spans="5:18" s="18" customFormat="1" ht="15.75" customHeight="1">
      <c r="E91" s="21"/>
      <c r="F91" s="44"/>
      <c r="G91" s="27"/>
      <c r="J91"/>
      <c r="K91"/>
      <c r="L91"/>
      <c r="M91"/>
      <c r="N91"/>
      <c r="O91"/>
      <c r="P91"/>
      <c r="Q91"/>
      <c r="R91"/>
    </row>
    <row r="92" spans="5:18" s="18" customFormat="1" ht="15.75" customHeight="1">
      <c r="E92" s="21"/>
      <c r="F92" s="44"/>
      <c r="G92" s="27"/>
      <c r="J92"/>
      <c r="K92"/>
      <c r="L92"/>
      <c r="M92"/>
      <c r="N92"/>
      <c r="O92"/>
      <c r="P92"/>
      <c r="Q92"/>
      <c r="R92"/>
    </row>
    <row r="93" spans="5:18" s="18" customFormat="1" ht="15.75" customHeight="1">
      <c r="E93" s="21"/>
      <c r="F93" s="44"/>
      <c r="G93" s="27"/>
      <c r="J93"/>
      <c r="K93"/>
      <c r="L93"/>
      <c r="M93"/>
      <c r="N93"/>
      <c r="O93"/>
      <c r="P93"/>
      <c r="Q93"/>
      <c r="R93"/>
    </row>
    <row r="94" spans="5:18" s="18" customFormat="1" ht="15.75" customHeight="1">
      <c r="E94" s="21"/>
      <c r="F94" s="44"/>
      <c r="G94" s="27"/>
      <c r="J94"/>
      <c r="K94"/>
      <c r="L94"/>
      <c r="M94"/>
      <c r="N94"/>
      <c r="O94"/>
      <c r="P94"/>
      <c r="Q94"/>
      <c r="R94"/>
    </row>
    <row r="95" spans="5:18" s="18" customFormat="1" ht="15.75" customHeight="1">
      <c r="E95" s="21"/>
      <c r="F95" s="44"/>
      <c r="G95" s="27"/>
      <c r="J95"/>
      <c r="K95"/>
      <c r="L95"/>
      <c r="M95"/>
      <c r="N95"/>
      <c r="O95"/>
      <c r="P95"/>
      <c r="Q95"/>
      <c r="R95"/>
    </row>
    <row r="96" spans="5:18" s="18" customFormat="1" ht="15.75" customHeight="1">
      <c r="E96" s="21"/>
      <c r="F96" s="44"/>
      <c r="G96" s="27"/>
      <c r="J96"/>
      <c r="K96"/>
      <c r="L96"/>
      <c r="M96"/>
      <c r="N96"/>
      <c r="O96"/>
      <c r="P96"/>
      <c r="Q96"/>
      <c r="R96"/>
    </row>
    <row r="97" spans="5:18" s="18" customFormat="1" ht="15.75" customHeight="1">
      <c r="E97" s="21"/>
      <c r="F97" s="44"/>
      <c r="G97" s="27"/>
      <c r="J97"/>
      <c r="K97"/>
      <c r="L97"/>
      <c r="M97"/>
      <c r="N97"/>
      <c r="O97"/>
      <c r="P97"/>
      <c r="Q97"/>
      <c r="R97"/>
    </row>
    <row r="98" spans="5:18" s="18" customFormat="1" ht="15.75" customHeight="1">
      <c r="E98" s="21"/>
      <c r="F98" s="44"/>
      <c r="G98" s="27"/>
      <c r="J98"/>
      <c r="K98"/>
      <c r="L98"/>
      <c r="M98"/>
      <c r="N98"/>
      <c r="O98"/>
      <c r="P98"/>
      <c r="Q98"/>
      <c r="R98"/>
    </row>
    <row r="99" spans="5:18" s="18" customFormat="1" ht="15.75" customHeight="1">
      <c r="E99" s="21"/>
      <c r="F99" s="44"/>
      <c r="G99" s="27"/>
      <c r="J99"/>
      <c r="K99"/>
      <c r="L99"/>
      <c r="M99"/>
      <c r="N99"/>
      <c r="O99"/>
      <c r="P99"/>
      <c r="Q99"/>
      <c r="R99"/>
    </row>
    <row r="100" spans="5:18" s="18" customFormat="1" ht="15.75" customHeight="1">
      <c r="E100" s="21"/>
      <c r="F100" s="44"/>
      <c r="G100" s="27"/>
      <c r="J100"/>
      <c r="K100"/>
      <c r="L100"/>
      <c r="M100"/>
      <c r="N100"/>
      <c r="O100"/>
      <c r="P100"/>
      <c r="Q100"/>
      <c r="R100"/>
    </row>
    <row r="101" spans="5:18" s="18" customFormat="1" ht="15.75" customHeight="1">
      <c r="E101" s="21"/>
      <c r="F101" s="44"/>
      <c r="G101" s="27"/>
      <c r="J101"/>
      <c r="K101"/>
      <c r="L101"/>
      <c r="M101"/>
      <c r="N101"/>
      <c r="O101"/>
      <c r="P101"/>
      <c r="Q101"/>
      <c r="R101"/>
    </row>
    <row r="102" spans="5:18" s="18" customFormat="1" ht="15.75" customHeight="1">
      <c r="E102" s="21"/>
      <c r="F102" s="44"/>
      <c r="G102" s="27"/>
      <c r="J102"/>
      <c r="K102"/>
      <c r="L102"/>
      <c r="M102"/>
      <c r="N102"/>
      <c r="O102"/>
      <c r="P102"/>
      <c r="Q102"/>
      <c r="R102"/>
    </row>
    <row r="103" spans="5:18" s="18" customFormat="1" ht="15.75" customHeight="1">
      <c r="E103" s="21"/>
      <c r="F103" s="44"/>
      <c r="G103" s="27"/>
      <c r="J103"/>
      <c r="K103"/>
      <c r="L103"/>
      <c r="M103"/>
      <c r="N103"/>
      <c r="O103"/>
      <c r="P103"/>
      <c r="Q103"/>
      <c r="R103"/>
    </row>
    <row r="104" spans="5:18" s="18" customFormat="1" ht="15.75" customHeight="1">
      <c r="E104" s="21"/>
      <c r="F104" s="44"/>
      <c r="G104" s="27"/>
      <c r="J104"/>
      <c r="K104"/>
      <c r="L104"/>
      <c r="M104"/>
      <c r="N104"/>
      <c r="O104"/>
      <c r="P104"/>
      <c r="Q104"/>
      <c r="R104"/>
    </row>
    <row r="105" spans="5:18" s="18" customFormat="1" ht="15.75" customHeight="1">
      <c r="E105" s="21"/>
      <c r="F105" s="44"/>
      <c r="G105" s="27"/>
      <c r="J105"/>
      <c r="K105"/>
      <c r="L105"/>
      <c r="M105"/>
      <c r="N105"/>
      <c r="O105"/>
      <c r="P105"/>
      <c r="Q105"/>
      <c r="R105"/>
    </row>
    <row r="106" spans="5:18" s="18" customFormat="1" ht="15.75" customHeight="1">
      <c r="E106" s="21"/>
      <c r="F106" s="44"/>
      <c r="G106" s="27"/>
      <c r="J106"/>
      <c r="K106"/>
      <c r="L106"/>
      <c r="M106"/>
      <c r="N106"/>
      <c r="O106"/>
      <c r="P106"/>
      <c r="Q106"/>
      <c r="R106"/>
    </row>
    <row r="107" spans="5:18" s="18" customFormat="1" ht="15.75" customHeight="1">
      <c r="E107" s="21"/>
      <c r="F107" s="44"/>
      <c r="G107" s="27"/>
      <c r="J107"/>
      <c r="K107"/>
      <c r="L107"/>
      <c r="M107"/>
      <c r="N107"/>
      <c r="O107"/>
      <c r="P107"/>
      <c r="Q107"/>
      <c r="R107"/>
    </row>
    <row r="108" spans="5:18" s="18" customFormat="1" ht="15.75" customHeight="1">
      <c r="E108" s="21"/>
      <c r="F108" s="44"/>
      <c r="G108" s="27"/>
      <c r="J108"/>
      <c r="K108"/>
      <c r="L108"/>
      <c r="M108"/>
      <c r="N108"/>
      <c r="O108"/>
      <c r="P108"/>
      <c r="Q108"/>
      <c r="R108"/>
    </row>
    <row r="109" spans="5:18" s="18" customFormat="1" ht="15.75" customHeight="1">
      <c r="E109" s="21"/>
      <c r="F109" s="44"/>
      <c r="G109" s="27"/>
      <c r="J109"/>
      <c r="K109"/>
      <c r="L109"/>
      <c r="M109"/>
      <c r="N109"/>
      <c r="O109"/>
      <c r="P109"/>
      <c r="Q109"/>
      <c r="R109"/>
    </row>
    <row r="110" spans="5:18" s="18" customFormat="1" ht="15.75" customHeight="1">
      <c r="E110" s="21"/>
      <c r="F110" s="44"/>
      <c r="G110" s="27"/>
      <c r="J110"/>
      <c r="K110"/>
      <c r="L110"/>
      <c r="M110"/>
      <c r="N110"/>
      <c r="O110"/>
      <c r="P110"/>
      <c r="Q110"/>
      <c r="R110"/>
    </row>
    <row r="111" spans="5:18" s="18" customFormat="1" ht="15.75" customHeight="1">
      <c r="E111" s="21"/>
      <c r="F111" s="44"/>
      <c r="G111" s="27"/>
      <c r="J111"/>
      <c r="K111"/>
      <c r="L111"/>
      <c r="M111"/>
      <c r="N111"/>
      <c r="O111"/>
      <c r="P111"/>
      <c r="Q111"/>
      <c r="R111"/>
    </row>
    <row r="112" spans="5:18" s="18" customFormat="1" ht="15.75" customHeight="1">
      <c r="E112" s="21"/>
      <c r="F112" s="44"/>
      <c r="G112" s="27"/>
      <c r="J112"/>
      <c r="K112"/>
      <c r="L112"/>
      <c r="M112"/>
      <c r="N112"/>
      <c r="O112"/>
      <c r="P112"/>
      <c r="Q112"/>
      <c r="R112"/>
    </row>
    <row r="113" spans="5:18" s="18" customFormat="1" ht="15.75" customHeight="1">
      <c r="E113" s="21"/>
      <c r="F113" s="44"/>
      <c r="G113" s="27"/>
      <c r="J113"/>
      <c r="K113"/>
      <c r="L113"/>
      <c r="M113"/>
      <c r="N113"/>
      <c r="O113"/>
      <c r="P113"/>
      <c r="Q113"/>
      <c r="R113"/>
    </row>
    <row r="114" spans="5:18" s="18" customFormat="1" ht="15.75" customHeight="1">
      <c r="E114" s="21"/>
      <c r="F114" s="44"/>
      <c r="G114" s="27"/>
      <c r="J114"/>
      <c r="K114"/>
      <c r="L114"/>
      <c r="M114"/>
      <c r="N114"/>
      <c r="O114"/>
      <c r="P114"/>
      <c r="Q114"/>
      <c r="R114"/>
    </row>
    <row r="115" spans="5:18" s="18" customFormat="1" ht="15.75" customHeight="1">
      <c r="E115" s="21"/>
      <c r="F115" s="44"/>
      <c r="G115" s="27"/>
      <c r="J115"/>
      <c r="K115"/>
      <c r="L115"/>
      <c r="M115"/>
      <c r="N115"/>
      <c r="O115"/>
      <c r="P115"/>
      <c r="Q115"/>
      <c r="R115"/>
    </row>
    <row r="116" spans="5:18" s="18" customFormat="1" ht="15.75" customHeight="1">
      <c r="E116" s="21"/>
      <c r="F116" s="44"/>
      <c r="G116" s="27"/>
      <c r="J116"/>
      <c r="K116"/>
      <c r="L116"/>
      <c r="M116"/>
      <c r="N116"/>
      <c r="O116"/>
      <c r="P116"/>
      <c r="Q116"/>
      <c r="R116"/>
    </row>
    <row r="117" spans="5:18" s="18" customFormat="1" ht="15.75" customHeight="1">
      <c r="E117" s="21"/>
      <c r="F117" s="44"/>
      <c r="G117" s="27"/>
      <c r="J117"/>
      <c r="K117"/>
      <c r="L117"/>
      <c r="M117"/>
      <c r="N117"/>
      <c r="O117"/>
      <c r="P117"/>
      <c r="Q117"/>
      <c r="R117"/>
    </row>
    <row r="118" spans="5:18" s="18" customFormat="1" ht="15.75" customHeight="1">
      <c r="E118" s="21"/>
      <c r="F118" s="44"/>
      <c r="G118" s="27"/>
      <c r="J118"/>
      <c r="K118"/>
      <c r="L118"/>
      <c r="M118"/>
      <c r="N118"/>
      <c r="O118"/>
      <c r="P118"/>
      <c r="Q118"/>
      <c r="R118"/>
    </row>
    <row r="119" spans="5:18" s="18" customFormat="1" ht="15.75" customHeight="1">
      <c r="E119" s="21"/>
      <c r="F119" s="44"/>
      <c r="G119" s="27"/>
      <c r="J119"/>
      <c r="K119"/>
      <c r="L119"/>
      <c r="M119"/>
      <c r="N119"/>
      <c r="O119"/>
      <c r="P119"/>
      <c r="Q119"/>
      <c r="R119"/>
    </row>
    <row r="120" spans="5:18" s="18" customFormat="1" ht="15.75" customHeight="1">
      <c r="E120" s="21"/>
      <c r="F120" s="44"/>
      <c r="G120" s="27"/>
      <c r="J120"/>
      <c r="K120"/>
      <c r="L120"/>
      <c r="M120"/>
      <c r="N120"/>
      <c r="O120"/>
      <c r="P120"/>
      <c r="Q120"/>
      <c r="R120"/>
    </row>
    <row r="121" spans="5:18" s="18" customFormat="1" ht="15.75" customHeight="1">
      <c r="E121" s="21"/>
      <c r="F121" s="44"/>
      <c r="G121" s="27"/>
      <c r="J121"/>
      <c r="K121"/>
      <c r="L121"/>
      <c r="M121"/>
      <c r="N121"/>
      <c r="O121"/>
      <c r="P121"/>
      <c r="Q121"/>
      <c r="R121"/>
    </row>
    <row r="122" spans="5:18" s="18" customFormat="1" ht="15.75" customHeight="1">
      <c r="E122" s="21"/>
      <c r="F122" s="44"/>
      <c r="G122" s="27"/>
      <c r="J122"/>
      <c r="K122"/>
      <c r="L122"/>
      <c r="M122"/>
      <c r="N122"/>
      <c r="O122"/>
      <c r="P122"/>
      <c r="Q122"/>
      <c r="R122"/>
    </row>
    <row r="123" spans="5:18" s="18" customFormat="1" ht="15.75" customHeight="1">
      <c r="E123" s="21"/>
      <c r="F123" s="44"/>
      <c r="G123" s="27"/>
      <c r="J123"/>
      <c r="K123"/>
      <c r="L123"/>
      <c r="M123"/>
      <c r="N123"/>
      <c r="O123"/>
      <c r="P123"/>
      <c r="Q123"/>
      <c r="R123"/>
    </row>
    <row r="124" spans="5:18" s="18" customFormat="1" ht="15.75" customHeight="1">
      <c r="E124" s="21"/>
      <c r="F124" s="44"/>
      <c r="G124" s="27"/>
      <c r="J124"/>
      <c r="K124"/>
      <c r="L124"/>
      <c r="M124"/>
      <c r="N124"/>
      <c r="O124"/>
      <c r="P124"/>
      <c r="Q124"/>
      <c r="R124"/>
    </row>
    <row r="125" spans="5:18" s="18" customFormat="1" ht="15.75" customHeight="1">
      <c r="E125" s="21"/>
      <c r="F125" s="44"/>
      <c r="G125" s="27"/>
      <c r="J125"/>
      <c r="K125"/>
      <c r="L125"/>
      <c r="M125"/>
      <c r="N125"/>
      <c r="O125"/>
      <c r="P125"/>
      <c r="Q125"/>
      <c r="R125"/>
    </row>
    <row r="126" spans="5:18" s="18" customFormat="1" ht="15.75" customHeight="1">
      <c r="E126" s="21"/>
      <c r="F126" s="44"/>
      <c r="G126" s="27"/>
      <c r="J126"/>
      <c r="K126"/>
      <c r="L126"/>
      <c r="M126"/>
      <c r="N126"/>
      <c r="O126"/>
      <c r="P126"/>
      <c r="Q126"/>
      <c r="R126"/>
    </row>
    <row r="127" spans="5:18" s="18" customFormat="1" ht="15.75" customHeight="1">
      <c r="E127" s="21"/>
      <c r="F127" s="44"/>
      <c r="G127" s="27"/>
      <c r="J127"/>
      <c r="K127"/>
      <c r="L127"/>
      <c r="M127"/>
      <c r="N127"/>
      <c r="O127"/>
      <c r="P127"/>
      <c r="Q127"/>
      <c r="R127"/>
    </row>
    <row r="128" spans="5:18" s="18" customFormat="1" ht="15.75" customHeight="1">
      <c r="E128" s="21"/>
      <c r="F128" s="44"/>
      <c r="G128" s="27"/>
      <c r="J128"/>
      <c r="K128"/>
      <c r="L128"/>
      <c r="M128"/>
      <c r="N128"/>
      <c r="O128"/>
      <c r="P128"/>
      <c r="Q128"/>
      <c r="R128"/>
    </row>
    <row r="129" spans="5:18" s="18" customFormat="1" ht="15.75" customHeight="1">
      <c r="E129" s="21"/>
      <c r="F129" s="44"/>
      <c r="G129" s="27"/>
      <c r="J129"/>
      <c r="K129"/>
      <c r="L129"/>
      <c r="M129"/>
      <c r="N129"/>
      <c r="O129"/>
      <c r="P129"/>
      <c r="Q129"/>
      <c r="R129"/>
    </row>
    <row r="130" spans="5:18" s="18" customFormat="1" ht="15.75" customHeight="1">
      <c r="E130" s="21"/>
      <c r="F130" s="44"/>
      <c r="G130" s="27"/>
      <c r="J130"/>
      <c r="K130"/>
      <c r="L130"/>
      <c r="M130"/>
      <c r="N130"/>
      <c r="O130"/>
      <c r="P130"/>
      <c r="Q130"/>
      <c r="R130"/>
    </row>
    <row r="131" spans="5:18" s="18" customFormat="1" ht="15.75" customHeight="1">
      <c r="E131" s="21"/>
      <c r="F131" s="44"/>
      <c r="G131" s="27"/>
      <c r="J131"/>
      <c r="K131"/>
      <c r="L131"/>
      <c r="M131"/>
      <c r="N131"/>
      <c r="O131"/>
      <c r="P131"/>
      <c r="Q131"/>
      <c r="R131"/>
    </row>
    <row r="132" spans="5:18" s="18" customFormat="1" ht="15.75" customHeight="1">
      <c r="E132" s="21"/>
      <c r="F132" s="44"/>
      <c r="G132" s="27"/>
      <c r="J132"/>
      <c r="K132"/>
      <c r="L132"/>
      <c r="M132"/>
      <c r="N132"/>
      <c r="O132"/>
      <c r="P132"/>
      <c r="Q132"/>
      <c r="R132"/>
    </row>
    <row r="133" spans="5:18" s="18" customFormat="1" ht="15.75" customHeight="1">
      <c r="E133" s="21"/>
      <c r="F133" s="44"/>
      <c r="G133" s="27"/>
      <c r="J133"/>
      <c r="K133"/>
      <c r="L133"/>
      <c r="M133"/>
      <c r="N133"/>
      <c r="O133"/>
      <c r="P133"/>
      <c r="Q133"/>
      <c r="R133"/>
    </row>
    <row r="134" spans="5:18" s="18" customFormat="1" ht="15.75" customHeight="1">
      <c r="E134" s="21"/>
      <c r="F134" s="44"/>
      <c r="G134" s="27"/>
      <c r="J134"/>
      <c r="K134"/>
      <c r="L134"/>
      <c r="M134"/>
      <c r="N134"/>
      <c r="O134"/>
      <c r="P134"/>
      <c r="Q134"/>
      <c r="R134"/>
    </row>
    <row r="135" spans="5:18" s="18" customFormat="1" ht="15.75" customHeight="1">
      <c r="E135" s="21"/>
      <c r="F135" s="44"/>
      <c r="G135" s="27"/>
      <c r="J135"/>
      <c r="K135"/>
      <c r="L135"/>
      <c r="M135"/>
      <c r="N135"/>
      <c r="O135"/>
      <c r="P135"/>
      <c r="Q135"/>
      <c r="R135"/>
    </row>
    <row r="136" spans="5:18" s="18" customFormat="1" ht="15.75" customHeight="1">
      <c r="E136" s="21"/>
      <c r="F136" s="44"/>
      <c r="G136" s="27"/>
      <c r="J136"/>
      <c r="K136"/>
      <c r="L136"/>
      <c r="M136"/>
      <c r="N136"/>
      <c r="O136"/>
      <c r="P136"/>
      <c r="Q136"/>
      <c r="R136"/>
    </row>
    <row r="137" spans="5:18" s="18" customFormat="1" ht="15.75" customHeight="1">
      <c r="E137" s="21"/>
      <c r="F137" s="44"/>
      <c r="G137" s="27"/>
      <c r="J137"/>
      <c r="K137"/>
      <c r="L137"/>
      <c r="M137"/>
      <c r="N137"/>
      <c r="O137"/>
      <c r="P137"/>
      <c r="Q137"/>
      <c r="R137"/>
    </row>
    <row r="138" spans="5:18" s="18" customFormat="1" ht="15.75" customHeight="1">
      <c r="E138" s="21"/>
      <c r="F138" s="44"/>
      <c r="G138" s="27"/>
      <c r="J138"/>
      <c r="K138"/>
      <c r="L138"/>
      <c r="M138"/>
      <c r="N138"/>
      <c r="O138"/>
      <c r="P138"/>
      <c r="Q138"/>
      <c r="R138"/>
    </row>
    <row r="139" spans="5:18" s="18" customFormat="1" ht="15.75" customHeight="1">
      <c r="E139" s="21"/>
      <c r="F139" s="44"/>
      <c r="G139" s="27"/>
      <c r="J139"/>
      <c r="K139"/>
      <c r="L139"/>
      <c r="M139"/>
      <c r="N139"/>
      <c r="O139"/>
      <c r="P139"/>
      <c r="Q139"/>
      <c r="R139"/>
    </row>
    <row r="140" spans="5:18" s="18" customFormat="1" ht="15.75" customHeight="1">
      <c r="E140" s="21"/>
      <c r="F140" s="44"/>
      <c r="G140" s="27"/>
      <c r="J140"/>
      <c r="K140"/>
      <c r="L140"/>
      <c r="M140"/>
      <c r="N140"/>
      <c r="O140"/>
      <c r="P140"/>
      <c r="Q140"/>
      <c r="R140"/>
    </row>
    <row r="141" spans="5:18" s="18" customFormat="1" ht="15.75" customHeight="1">
      <c r="E141" s="21"/>
      <c r="F141" s="44"/>
      <c r="G141" s="27"/>
      <c r="J141"/>
      <c r="K141"/>
      <c r="L141"/>
      <c r="M141"/>
      <c r="N141"/>
      <c r="O141"/>
      <c r="P141"/>
      <c r="Q141"/>
      <c r="R141"/>
    </row>
    <row r="142" spans="5:18" s="18" customFormat="1" ht="15.75" customHeight="1">
      <c r="E142" s="21"/>
      <c r="F142" s="44"/>
      <c r="G142" s="27"/>
      <c r="J142"/>
      <c r="K142"/>
      <c r="L142"/>
      <c r="M142"/>
      <c r="N142"/>
      <c r="O142"/>
      <c r="P142"/>
      <c r="Q142"/>
      <c r="R142"/>
    </row>
    <row r="143" spans="5:18" s="18" customFormat="1" ht="15.75" customHeight="1">
      <c r="E143" s="21"/>
      <c r="F143" s="44"/>
      <c r="G143" s="27"/>
      <c r="J143"/>
      <c r="K143"/>
      <c r="L143"/>
      <c r="M143"/>
      <c r="N143"/>
      <c r="O143"/>
      <c r="P143"/>
      <c r="Q143"/>
      <c r="R143"/>
    </row>
    <row r="144" spans="5:18" s="18" customFormat="1" ht="15.75" customHeight="1">
      <c r="E144" s="21"/>
      <c r="F144" s="44"/>
      <c r="G144" s="27"/>
      <c r="J144"/>
      <c r="K144"/>
      <c r="L144"/>
      <c r="M144"/>
      <c r="N144"/>
      <c r="O144"/>
      <c r="P144"/>
      <c r="Q144"/>
      <c r="R144"/>
    </row>
    <row r="145" spans="5:18" s="18" customFormat="1" ht="15.75" customHeight="1">
      <c r="E145" s="21"/>
      <c r="F145" s="44"/>
      <c r="G145" s="27"/>
      <c r="J145"/>
      <c r="K145"/>
      <c r="L145"/>
      <c r="M145"/>
      <c r="N145"/>
      <c r="O145"/>
      <c r="P145"/>
      <c r="Q145"/>
      <c r="R145"/>
    </row>
    <row r="146" spans="5:18" s="18" customFormat="1" ht="15.75" customHeight="1">
      <c r="E146" s="21"/>
      <c r="F146" s="44"/>
      <c r="G146" s="27"/>
      <c r="J146"/>
      <c r="K146"/>
      <c r="L146"/>
      <c r="M146"/>
      <c r="N146"/>
      <c r="O146"/>
      <c r="P146"/>
      <c r="Q146"/>
      <c r="R146"/>
    </row>
    <row r="147" spans="5:18" s="18" customFormat="1" ht="15.75" customHeight="1">
      <c r="E147" s="21"/>
      <c r="F147" s="44"/>
      <c r="G147" s="27"/>
      <c r="J147"/>
      <c r="K147"/>
      <c r="L147"/>
      <c r="M147"/>
      <c r="N147"/>
      <c r="O147"/>
      <c r="P147"/>
      <c r="Q147"/>
      <c r="R147"/>
    </row>
    <row r="148" spans="5:18" s="18" customFormat="1" ht="15.75" customHeight="1">
      <c r="E148" s="21"/>
      <c r="F148" s="44"/>
      <c r="G148" s="27"/>
      <c r="J148"/>
      <c r="K148"/>
      <c r="L148"/>
      <c r="M148"/>
      <c r="N148"/>
      <c r="O148"/>
      <c r="P148"/>
      <c r="Q148"/>
      <c r="R148"/>
    </row>
    <row r="149" spans="5:18" s="18" customFormat="1" ht="15.75" customHeight="1">
      <c r="E149" s="21"/>
      <c r="F149" s="44"/>
      <c r="G149" s="27"/>
      <c r="J149"/>
      <c r="K149"/>
      <c r="L149"/>
      <c r="M149"/>
      <c r="N149"/>
      <c r="O149"/>
      <c r="P149"/>
      <c r="Q149"/>
      <c r="R149"/>
    </row>
    <row r="150" spans="5:18" s="18" customFormat="1" ht="15.75" customHeight="1">
      <c r="E150" s="21"/>
      <c r="F150" s="44"/>
      <c r="G150" s="27"/>
      <c r="J150"/>
      <c r="K150"/>
      <c r="L150"/>
      <c r="M150"/>
      <c r="N150"/>
      <c r="O150"/>
      <c r="P150"/>
      <c r="Q150"/>
      <c r="R150"/>
    </row>
    <row r="151" spans="5:18" s="18" customFormat="1" ht="15.75" customHeight="1">
      <c r="E151" s="21"/>
      <c r="F151" s="44"/>
      <c r="G151" s="27"/>
      <c r="J151"/>
      <c r="K151"/>
      <c r="L151"/>
      <c r="M151"/>
      <c r="N151"/>
      <c r="O151"/>
      <c r="P151"/>
      <c r="Q151"/>
      <c r="R151"/>
    </row>
    <row r="152" spans="5:18" s="18" customFormat="1" ht="15.75" customHeight="1">
      <c r="E152" s="21"/>
      <c r="F152" s="44"/>
      <c r="G152" s="27"/>
      <c r="J152"/>
      <c r="K152"/>
      <c r="L152"/>
      <c r="M152"/>
      <c r="N152"/>
      <c r="O152"/>
      <c r="P152"/>
      <c r="Q152"/>
      <c r="R152"/>
    </row>
    <row r="153" spans="5:18" s="18" customFormat="1" ht="15.75" customHeight="1">
      <c r="E153" s="21"/>
      <c r="F153" s="44"/>
      <c r="G153" s="27"/>
      <c r="J153"/>
      <c r="K153"/>
      <c r="L153"/>
      <c r="M153"/>
      <c r="N153"/>
      <c r="O153"/>
      <c r="P153"/>
      <c r="Q153"/>
      <c r="R153"/>
    </row>
  </sheetData>
  <autoFilter ref="A8:P26" xr:uid="{00000000-0009-0000-0000-000000000000}"/>
  <mergeCells count="50">
    <mergeCell ref="B1:D1"/>
    <mergeCell ref="E1:I1"/>
    <mergeCell ref="N1:P1"/>
    <mergeCell ref="E2:E6"/>
    <mergeCell ref="F2:G2"/>
    <mergeCell ref="J2:L6"/>
    <mergeCell ref="M2:M6"/>
    <mergeCell ref="N2:N6"/>
    <mergeCell ref="O2:P6"/>
    <mergeCell ref="F6:I6"/>
    <mergeCell ref="Q2:Q5"/>
    <mergeCell ref="R2:R5"/>
    <mergeCell ref="C3:C5"/>
    <mergeCell ref="D3:D5"/>
    <mergeCell ref="F3:G3"/>
    <mergeCell ref="F4:G4"/>
    <mergeCell ref="F5:G5"/>
    <mergeCell ref="B7:D7"/>
    <mergeCell ref="E7:I7"/>
    <mergeCell ref="J7:L7"/>
    <mergeCell ref="N7:P7"/>
    <mergeCell ref="E8:F8"/>
    <mergeCell ref="N8:O8"/>
    <mergeCell ref="E13:F13"/>
    <mergeCell ref="E14:F14"/>
    <mergeCell ref="E15:F15"/>
    <mergeCell ref="E16:F16"/>
    <mergeCell ref="E17:F17"/>
    <mergeCell ref="E10:F10"/>
    <mergeCell ref="N10:O10"/>
    <mergeCell ref="E11:F11"/>
    <mergeCell ref="N11:O11"/>
    <mergeCell ref="E12:F12"/>
    <mergeCell ref="N12:O12"/>
    <mergeCell ref="E9:F9"/>
    <mergeCell ref="E27:F27"/>
    <mergeCell ref="G27:H27"/>
    <mergeCell ref="N27:O27"/>
    <mergeCell ref="E25:F25"/>
    <mergeCell ref="N25:O25"/>
    <mergeCell ref="E26:F26"/>
    <mergeCell ref="N26:O26"/>
    <mergeCell ref="E23:F23"/>
    <mergeCell ref="E18:F18"/>
    <mergeCell ref="N18:O18"/>
    <mergeCell ref="E19:F19"/>
    <mergeCell ref="E20:F20"/>
    <mergeCell ref="E21:F21"/>
    <mergeCell ref="E22:F22"/>
    <mergeCell ref="N17:O17"/>
  </mergeCells>
  <conditionalFormatting sqref="A10:A12 A23">
    <cfRule type="expression" dxfId="76" priority="3">
      <formula>M10 = "On Hold"</formula>
    </cfRule>
  </conditionalFormatting>
  <conditionalFormatting sqref="A15">
    <cfRule type="expression" dxfId="75" priority="4">
      <formula>M15 = "On Hold"</formula>
    </cfRule>
  </conditionalFormatting>
  <conditionalFormatting sqref="A17:A21">
    <cfRule type="expression" dxfId="74" priority="1">
      <formula>M17 = "On Hold"</formula>
    </cfRule>
  </conditionalFormatting>
  <conditionalFormatting sqref="A25:A26">
    <cfRule type="expression" dxfId="73" priority="7">
      <formula>M25 = "On Hold"</formula>
    </cfRule>
  </conditionalFormatting>
  <conditionalFormatting sqref="B2:B5 J10:P26">
    <cfRule type="cellIs" dxfId="72" priority="5" operator="equal">
      <formula>"Done"</formula>
    </cfRule>
    <cfRule type="cellIs" dxfId="71" priority="6" operator="equal">
      <formula>"On Hold"</formula>
    </cfRule>
    <cfRule type="cellIs" dxfId="70" priority="8" operator="equal">
      <formula>"Ready for Review"</formula>
    </cfRule>
    <cfRule type="cellIs" dxfId="69" priority="9" operator="equal">
      <formula>"In Review"</formula>
    </cfRule>
  </conditionalFormatting>
  <dataValidations count="7">
    <dataValidation type="list" allowBlank="1" sqref="B25:B26 B9:B23" xr:uid="{7E0D5A22-8347-4301-99CD-435C14AB416F}">
      <formula1>Data_Types</formula1>
    </dataValidation>
    <dataValidation type="list" allowBlank="1" sqref="B3 M10:M26" xr:uid="{41A58E10-917C-44F8-B8EB-CA8B21E65531}">
      <formula1>Statuses</formula1>
    </dataValidation>
    <dataValidation type="list" allowBlank="1" sqref="B4:B5" xr:uid="{1E3A2FCF-8E1B-436A-9127-638332AE3BD0}">
      <formula1>ETL_Statuses</formula1>
    </dataValidation>
    <dataValidation type="list" allowBlank="1" showErrorMessage="1" sqref="B2" xr:uid="{CA8025CD-0B8C-4FE6-A481-5BE023B22128}">
      <formula1>STT_Statuses</formula1>
    </dataValidation>
    <dataValidation type="list" allowBlank="1" sqref="E9:E26" xr:uid="{D409015B-E55D-4FE7-8E1F-4438504CE7B4}">
      <formula1>Sources</formula1>
    </dataValidation>
    <dataValidation type="list" allowBlank="1" sqref="P10:P26" xr:uid="{0685A7FB-F949-4A71-93D9-CC0147AD8080}">
      <formula1>Versions</formula1>
    </dataValidation>
    <dataValidation type="list" allowBlank="1" sqref="N10:N26" xr:uid="{20B94FA5-02DE-4CA6-B8EB-CAE064B9281E}">
      <formula1>Categories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3477B-CA44-4963-9CB8-3B68DDC56625}">
  <sheetPr>
    <tabColor theme="4" tint="0.59999389629810485"/>
    <outlinePr summaryBelow="0" summaryRight="0"/>
  </sheetPr>
  <dimension ref="A1:R149"/>
  <sheetViews>
    <sheetView zoomScale="80" zoomScaleNormal="80" workbookViewId="0">
      <pane xSplit="1" ySplit="8" topLeftCell="D9" activePane="bottomRight" state="frozen"/>
      <selection pane="bottomRight" activeCell="D14" sqref="D14"/>
      <selection pane="bottomLeft" activeCell="A9" sqref="A9"/>
      <selection pane="topRight" activeCell="B1" sqref="B1"/>
    </sheetView>
  </sheetViews>
  <sheetFormatPr defaultColWidth="12.7109375" defaultRowHeight="15" customHeight="1" outlineLevelRow="1" outlineLevelCol="1"/>
  <cols>
    <col min="1" max="1" width="27" style="18" customWidth="1"/>
    <col min="2" max="2" width="11.85546875" style="18" customWidth="1" outlineLevel="1"/>
    <col min="3" max="3" width="7" style="18" customWidth="1" outlineLevel="1"/>
    <col min="4" max="4" width="28" style="18" customWidth="1" outlineLevel="1"/>
    <col min="5" max="5" width="2.28515625" style="21" customWidth="1"/>
    <col min="6" max="6" width="12.7109375" style="44" customWidth="1" outlineLevel="1"/>
    <col min="7" max="7" width="43.7109375" style="27" customWidth="1" outlineLevel="1"/>
    <col min="8" max="8" width="30.7109375" style="18" customWidth="1" outlineLevel="1"/>
    <col min="9" max="9" width="33.140625" style="18" customWidth="1" outlineLevel="1"/>
    <col min="10" max="10" width="5.85546875" hidden="1" customWidth="1" outlineLevel="1"/>
    <col min="11" max="11" width="5" hidden="1" customWidth="1" outlineLevel="1"/>
    <col min="12" max="12" width="11.7109375" hidden="1" customWidth="1" outlineLevel="1"/>
    <col min="13" max="13" width="2.28515625" customWidth="1"/>
    <col min="14" max="14" width="2.28515625" customWidth="1" collapsed="1"/>
    <col min="15" max="15" width="10.7109375" hidden="1" customWidth="1" outlineLevel="1"/>
    <col min="16" max="16" width="11" hidden="1" customWidth="1" outlineLevel="1"/>
    <col min="17" max="18" width="47.7109375" customWidth="1"/>
  </cols>
  <sheetData>
    <row r="1" spans="1:18" ht="5.25" customHeight="1" outlineLevel="1">
      <c r="A1" s="28"/>
      <c r="B1" s="109"/>
      <c r="C1" s="106"/>
      <c r="D1" s="106"/>
      <c r="E1" s="110"/>
      <c r="F1" s="106"/>
      <c r="G1" s="106"/>
      <c r="H1" s="106"/>
      <c r="I1" s="106"/>
      <c r="J1" s="2"/>
      <c r="K1" s="2"/>
      <c r="L1" s="2"/>
      <c r="M1" s="2"/>
      <c r="N1" s="111"/>
      <c r="O1" s="124"/>
      <c r="P1" s="124"/>
    </row>
    <row r="2" spans="1:18" ht="15.75" customHeight="1" outlineLevel="1">
      <c r="A2" s="29" t="s">
        <v>0</v>
      </c>
      <c r="B2" s="29" t="s">
        <v>1</v>
      </c>
      <c r="C2" s="30"/>
      <c r="D2" s="31" t="s">
        <v>2</v>
      </c>
      <c r="E2" s="112" t="s">
        <v>3</v>
      </c>
      <c r="F2" s="115" t="s">
        <v>4</v>
      </c>
      <c r="G2" s="116"/>
      <c r="H2" s="19" t="s">
        <v>5</v>
      </c>
      <c r="I2" s="20"/>
      <c r="J2" s="117"/>
      <c r="K2" s="125"/>
      <c r="L2" s="126"/>
      <c r="M2" s="118" t="s">
        <v>6</v>
      </c>
      <c r="N2" s="119" t="s">
        <v>7</v>
      </c>
      <c r="O2" s="120"/>
      <c r="P2" s="126"/>
      <c r="Q2" s="127" t="s">
        <v>8</v>
      </c>
      <c r="R2" s="128" t="s">
        <v>9</v>
      </c>
    </row>
    <row r="3" spans="1:18" ht="15.75" customHeight="1" outlineLevel="1">
      <c r="A3" s="29" t="s">
        <v>10</v>
      </c>
      <c r="B3" s="29"/>
      <c r="C3" s="108"/>
      <c r="D3" s="121" t="s">
        <v>270</v>
      </c>
      <c r="E3" s="113"/>
      <c r="F3" s="103" t="s">
        <v>251</v>
      </c>
      <c r="G3" s="104"/>
      <c r="H3" s="19" t="s">
        <v>13</v>
      </c>
      <c r="I3" s="20"/>
      <c r="J3" s="129"/>
      <c r="K3" s="128"/>
      <c r="L3" s="130"/>
      <c r="M3" s="131"/>
      <c r="N3" s="131"/>
      <c r="O3" s="129"/>
      <c r="P3" s="130"/>
      <c r="Q3" s="127"/>
      <c r="R3" s="128"/>
    </row>
    <row r="4" spans="1:18" ht="15.75" customHeight="1" outlineLevel="1">
      <c r="A4" s="29" t="s">
        <v>14</v>
      </c>
      <c r="B4" s="29"/>
      <c r="C4" s="108"/>
      <c r="D4" s="113"/>
      <c r="E4" s="113"/>
      <c r="F4" s="115" t="s">
        <v>15</v>
      </c>
      <c r="G4" s="116"/>
      <c r="H4" s="19" t="s">
        <v>16</v>
      </c>
      <c r="I4" s="20"/>
      <c r="J4" s="129"/>
      <c r="K4" s="128"/>
      <c r="L4" s="130"/>
      <c r="M4" s="131"/>
      <c r="N4" s="131"/>
      <c r="O4" s="129"/>
      <c r="P4" s="130"/>
      <c r="Q4" s="127"/>
      <c r="R4" s="128"/>
    </row>
    <row r="5" spans="1:18" ht="15.75" customHeight="1" outlineLevel="1">
      <c r="A5" s="29" t="s">
        <v>17</v>
      </c>
      <c r="B5" s="29"/>
      <c r="C5" s="108"/>
      <c r="D5" s="114"/>
      <c r="E5" s="113"/>
      <c r="F5" s="103" t="s">
        <v>18</v>
      </c>
      <c r="G5" s="104"/>
      <c r="H5" s="19" t="s">
        <v>19</v>
      </c>
      <c r="I5" s="20"/>
      <c r="J5" s="129"/>
      <c r="K5" s="128"/>
      <c r="L5" s="130"/>
      <c r="M5" s="131"/>
      <c r="N5" s="131"/>
      <c r="O5" s="129"/>
      <c r="P5" s="130"/>
      <c r="Q5" s="132"/>
      <c r="R5" s="133"/>
    </row>
    <row r="6" spans="1:18" ht="15.75" customHeight="1" outlineLevel="1">
      <c r="A6" s="21"/>
      <c r="B6" s="21"/>
      <c r="C6" s="32" t="e" vm="1">
        <v>#VALUE!</v>
      </c>
      <c r="D6" s="21"/>
      <c r="E6" s="114"/>
      <c r="F6" s="108"/>
      <c r="G6" s="108"/>
      <c r="H6" s="108"/>
      <c r="I6" s="108"/>
      <c r="J6" s="134"/>
      <c r="K6" s="135"/>
      <c r="L6" s="136"/>
      <c r="M6" s="137"/>
      <c r="N6" s="137"/>
      <c r="O6" s="134"/>
      <c r="P6" s="136"/>
      <c r="Q6" s="10" t="s">
        <v>20</v>
      </c>
      <c r="R6" s="10" t="s">
        <v>20</v>
      </c>
    </row>
    <row r="7" spans="1:18" ht="15.75" customHeight="1">
      <c r="A7" s="33" t="s">
        <v>21</v>
      </c>
      <c r="B7" s="98" t="s">
        <v>21</v>
      </c>
      <c r="C7" s="99"/>
      <c r="D7" s="99"/>
      <c r="E7" s="100" t="s">
        <v>22</v>
      </c>
      <c r="F7" s="99"/>
      <c r="G7" s="99"/>
      <c r="H7" s="99"/>
      <c r="I7" s="101"/>
      <c r="J7" s="138"/>
      <c r="K7" s="138"/>
      <c r="L7" s="139"/>
      <c r="M7" s="53" t="s">
        <v>23</v>
      </c>
      <c r="N7" s="102" t="s">
        <v>24</v>
      </c>
      <c r="O7" s="138"/>
      <c r="P7" s="139"/>
      <c r="Q7" s="62"/>
      <c r="R7" s="11"/>
    </row>
    <row r="8" spans="1:18" ht="15.75" customHeight="1">
      <c r="A8" s="34" t="s">
        <v>26</v>
      </c>
      <c r="B8" s="34" t="s">
        <v>27</v>
      </c>
      <c r="C8" s="34" t="s">
        <v>28</v>
      </c>
      <c r="D8" s="35" t="s">
        <v>29</v>
      </c>
      <c r="E8" s="94" t="s">
        <v>30</v>
      </c>
      <c r="F8" s="101"/>
      <c r="G8" s="17" t="s">
        <v>31</v>
      </c>
      <c r="H8" s="22" t="s">
        <v>32</v>
      </c>
      <c r="I8" s="23" t="s">
        <v>33</v>
      </c>
      <c r="J8" s="50"/>
      <c r="K8" s="12" t="s">
        <v>31</v>
      </c>
      <c r="L8" s="12" t="s">
        <v>26</v>
      </c>
      <c r="M8" s="52" t="s">
        <v>34</v>
      </c>
      <c r="N8" s="140" t="s">
        <v>35</v>
      </c>
      <c r="O8" s="139"/>
      <c r="P8" s="13" t="s">
        <v>36</v>
      </c>
      <c r="Q8" s="14" t="str">
        <f>"("</f>
        <v>(</v>
      </c>
      <c r="R8" s="14" t="str">
        <f>"("</f>
        <v>(</v>
      </c>
    </row>
    <row r="9" spans="1:18" ht="15.75" customHeight="1">
      <c r="A9" s="37"/>
      <c r="B9" s="34" t="s">
        <v>38</v>
      </c>
      <c r="C9" s="36" t="e" vm="1">
        <v>#VALUE!</v>
      </c>
      <c r="D9" s="35" t="s">
        <v>252</v>
      </c>
      <c r="E9" s="94" t="s">
        <v>40</v>
      </c>
      <c r="F9" s="95"/>
      <c r="G9" s="17" t="s">
        <v>271</v>
      </c>
      <c r="H9" s="23" t="s">
        <v>272</v>
      </c>
      <c r="I9" s="23" t="s">
        <v>255</v>
      </c>
      <c r="J9" s="50"/>
      <c r="K9" s="12"/>
      <c r="L9" s="12"/>
      <c r="M9" s="52"/>
      <c r="N9" s="42"/>
      <c r="O9" s="50"/>
      <c r="P9" s="13"/>
      <c r="Q9" s="14"/>
      <c r="R9" s="14"/>
    </row>
    <row r="10" spans="1:18" ht="15.75" customHeight="1" outlineLevel="1">
      <c r="A10" s="66" t="s">
        <v>273</v>
      </c>
      <c r="B10" s="34" t="s">
        <v>38</v>
      </c>
      <c r="C10" s="36" t="e" vm="1">
        <v>#VALUE!</v>
      </c>
      <c r="D10" s="34" t="s">
        <v>274</v>
      </c>
      <c r="E10" s="94" t="s">
        <v>40</v>
      </c>
      <c r="F10" s="95"/>
      <c r="G10" s="17" t="s">
        <v>271</v>
      </c>
      <c r="H10" s="23" t="s">
        <v>273</v>
      </c>
      <c r="I10" s="23"/>
      <c r="J10" s="41"/>
      <c r="K10" s="12"/>
      <c r="L10" s="12"/>
      <c r="M10" s="49"/>
      <c r="N10" s="140" t="s">
        <v>42</v>
      </c>
      <c r="O10" s="141"/>
      <c r="P10" s="13" t="s">
        <v>43</v>
      </c>
      <c r="Q10" s="14"/>
      <c r="R10" s="14"/>
    </row>
    <row r="11" spans="1:18" ht="15.75" customHeight="1" outlineLevel="1">
      <c r="A11" s="66" t="s">
        <v>275</v>
      </c>
      <c r="B11" s="34" t="s">
        <v>50</v>
      </c>
      <c r="C11" s="36"/>
      <c r="D11" s="34" t="s">
        <v>260</v>
      </c>
      <c r="E11" s="94" t="s">
        <v>40</v>
      </c>
      <c r="F11" s="95"/>
      <c r="G11" s="17" t="s">
        <v>271</v>
      </c>
      <c r="H11" s="23" t="s">
        <v>275</v>
      </c>
      <c r="I11" s="23"/>
      <c r="J11" s="41"/>
      <c r="K11" s="12"/>
      <c r="L11" s="12"/>
      <c r="M11" s="49"/>
      <c r="N11" s="140"/>
      <c r="O11" s="141"/>
      <c r="P11" s="13"/>
      <c r="Q11" s="14"/>
      <c r="R11" s="14"/>
    </row>
    <row r="12" spans="1:18" ht="15.75" customHeight="1" outlineLevel="1">
      <c r="A12" s="66" t="s">
        <v>276</v>
      </c>
      <c r="B12" s="34" t="s">
        <v>38</v>
      </c>
      <c r="C12" s="36"/>
      <c r="D12" s="34" t="s">
        <v>263</v>
      </c>
      <c r="E12" s="94" t="s">
        <v>40</v>
      </c>
      <c r="F12" s="95"/>
      <c r="G12" s="17" t="s">
        <v>271</v>
      </c>
      <c r="H12" s="23" t="s">
        <v>276</v>
      </c>
      <c r="I12" s="23"/>
      <c r="J12" s="41"/>
      <c r="K12" s="12"/>
      <c r="L12" s="12"/>
      <c r="M12" s="49"/>
      <c r="N12" s="140"/>
      <c r="O12" s="141"/>
      <c r="P12" s="13"/>
      <c r="Q12" s="14"/>
      <c r="R12" s="14"/>
    </row>
    <row r="13" spans="1:18" ht="15.75" customHeight="1" outlineLevel="1">
      <c r="A13" s="66" t="s">
        <v>277</v>
      </c>
      <c r="B13" s="34" t="s">
        <v>50</v>
      </c>
      <c r="C13" s="36" t="e" vm="1">
        <v>#VALUE!</v>
      </c>
      <c r="D13" s="34" t="s">
        <v>119</v>
      </c>
      <c r="E13" s="94" t="s">
        <v>40</v>
      </c>
      <c r="F13" s="95"/>
      <c r="G13" s="17" t="s">
        <v>271</v>
      </c>
      <c r="H13" s="23" t="s">
        <v>277</v>
      </c>
      <c r="I13" s="23"/>
      <c r="J13" s="41"/>
      <c r="K13" s="12"/>
      <c r="L13" s="12"/>
      <c r="M13" s="49"/>
      <c r="N13" s="42"/>
      <c r="O13" s="43"/>
      <c r="P13" s="13"/>
      <c r="Q13" s="14"/>
      <c r="R13" s="14"/>
    </row>
    <row r="14" spans="1:18" ht="15.75" customHeight="1" outlineLevel="1">
      <c r="A14" s="66" t="s">
        <v>278</v>
      </c>
      <c r="B14" s="34" t="s">
        <v>38</v>
      </c>
      <c r="C14" s="36"/>
      <c r="D14" s="34" t="s">
        <v>279</v>
      </c>
      <c r="E14" s="94" t="s">
        <v>40</v>
      </c>
      <c r="F14" s="95"/>
      <c r="G14" s="17" t="s">
        <v>271</v>
      </c>
      <c r="H14" s="23" t="s">
        <v>278</v>
      </c>
      <c r="I14" s="23"/>
      <c r="J14" s="41"/>
      <c r="K14" s="12"/>
      <c r="L14" s="12"/>
      <c r="M14" s="49"/>
      <c r="N14" s="42"/>
      <c r="O14" s="43"/>
      <c r="P14" s="13"/>
      <c r="Q14" s="14"/>
      <c r="R14" s="14"/>
    </row>
    <row r="15" spans="1:18" ht="15.75" customHeight="1" outlineLevel="1">
      <c r="A15" s="66" t="s">
        <v>87</v>
      </c>
      <c r="B15" s="34" t="s">
        <v>38</v>
      </c>
      <c r="C15" s="36"/>
      <c r="D15" s="34" t="s">
        <v>88</v>
      </c>
      <c r="E15" s="94" t="s">
        <v>40</v>
      </c>
      <c r="F15" s="95"/>
      <c r="G15" s="17" t="s">
        <v>86</v>
      </c>
      <c r="H15" s="17" t="s">
        <v>87</v>
      </c>
      <c r="I15" s="23"/>
      <c r="J15" s="41"/>
      <c r="K15" s="12"/>
      <c r="L15" s="12"/>
      <c r="M15" s="49"/>
      <c r="N15" s="42"/>
      <c r="O15" s="43"/>
      <c r="P15" s="13"/>
      <c r="Q15" s="14"/>
      <c r="R15" s="14"/>
    </row>
    <row r="16" spans="1:18" ht="15.75" customHeight="1" outlineLevel="1">
      <c r="A16" s="66" t="s">
        <v>84</v>
      </c>
      <c r="B16" s="34" t="s">
        <v>50</v>
      </c>
      <c r="C16" s="36"/>
      <c r="D16" s="34" t="s">
        <v>269</v>
      </c>
      <c r="E16" s="94" t="s">
        <v>40</v>
      </c>
      <c r="F16" s="95"/>
      <c r="G16" s="17" t="s">
        <v>86</v>
      </c>
      <c r="H16" s="23" t="s">
        <v>84</v>
      </c>
      <c r="I16" s="23"/>
      <c r="J16" s="41"/>
      <c r="K16" s="12"/>
      <c r="L16" s="12"/>
      <c r="M16" s="49"/>
      <c r="N16" s="140"/>
      <c r="O16" s="141"/>
      <c r="P16" s="13"/>
      <c r="Q16" s="14"/>
      <c r="R16" s="14"/>
    </row>
    <row r="17" spans="1:18" ht="15.75" customHeight="1" outlineLevel="1">
      <c r="A17" s="66" t="s">
        <v>104</v>
      </c>
      <c r="B17" s="34" t="s">
        <v>38</v>
      </c>
      <c r="C17" s="36"/>
      <c r="D17" s="16" t="s">
        <v>105</v>
      </c>
      <c r="E17" s="94" t="s">
        <v>40</v>
      </c>
      <c r="F17" s="95"/>
      <c r="G17" s="17" t="s">
        <v>106</v>
      </c>
      <c r="H17" s="23" t="s">
        <v>104</v>
      </c>
      <c r="I17" s="23"/>
      <c r="J17" s="41"/>
      <c r="K17" s="12"/>
      <c r="L17" s="12"/>
      <c r="M17" s="49"/>
      <c r="N17" s="140"/>
      <c r="O17" s="141"/>
      <c r="P17" s="13"/>
      <c r="Q17" s="14"/>
      <c r="R17" s="14"/>
    </row>
    <row r="18" spans="1:18" ht="15.75" customHeight="1" outlineLevel="1">
      <c r="A18" s="66" t="s">
        <v>107</v>
      </c>
      <c r="B18" s="34" t="s">
        <v>72</v>
      </c>
      <c r="C18" s="36"/>
      <c r="D18" s="16" t="s">
        <v>108</v>
      </c>
      <c r="E18" s="94" t="s">
        <v>40</v>
      </c>
      <c r="F18" s="95"/>
      <c r="G18" s="17" t="s">
        <v>106</v>
      </c>
      <c r="H18" s="23" t="s">
        <v>107</v>
      </c>
      <c r="I18" s="23"/>
      <c r="J18" s="41"/>
      <c r="K18" s="12"/>
      <c r="L18" s="12"/>
      <c r="M18" s="49"/>
      <c r="N18" s="42"/>
      <c r="O18" s="43"/>
      <c r="P18" s="13"/>
      <c r="Q18" s="14"/>
      <c r="R18" s="14"/>
    </row>
    <row r="19" spans="1:18" ht="15.75" customHeight="1" outlineLevel="1">
      <c r="A19" s="66" t="s">
        <v>89</v>
      </c>
      <c r="B19" s="34" t="s">
        <v>50</v>
      </c>
      <c r="C19" s="36"/>
      <c r="D19" s="65" t="s">
        <v>90</v>
      </c>
      <c r="E19" s="94" t="s">
        <v>40</v>
      </c>
      <c r="F19" s="95"/>
      <c r="G19" s="17" t="s">
        <v>91</v>
      </c>
      <c r="H19" s="23" t="s">
        <v>89</v>
      </c>
      <c r="I19" s="23"/>
      <c r="J19" s="41"/>
      <c r="K19" s="12"/>
      <c r="L19" s="12"/>
      <c r="M19" s="49"/>
      <c r="N19" s="42"/>
      <c r="O19" s="43"/>
      <c r="P19" s="13"/>
      <c r="Q19" s="14"/>
      <c r="R19" s="14"/>
    </row>
    <row r="20" spans="1:18" ht="15.75" customHeight="1" outlineLevel="1">
      <c r="A20" s="56"/>
      <c r="B20" s="63"/>
      <c r="C20" s="57"/>
      <c r="D20" s="67"/>
      <c r="E20" s="94"/>
      <c r="F20" s="95"/>
      <c r="G20" s="17"/>
      <c r="H20" s="60"/>
      <c r="I20" s="23"/>
      <c r="J20" s="41"/>
      <c r="K20" s="12"/>
      <c r="L20" s="12"/>
      <c r="M20" s="49"/>
      <c r="N20" s="42"/>
      <c r="O20" s="43"/>
      <c r="P20" s="13"/>
      <c r="Q20" s="14"/>
      <c r="R20" s="14"/>
    </row>
    <row r="21" spans="1:18" ht="15.75" customHeight="1" outlineLevel="1">
      <c r="A21" s="37"/>
      <c r="B21" s="34"/>
      <c r="C21" s="36"/>
      <c r="D21" s="34"/>
      <c r="E21" s="94"/>
      <c r="F21" s="95"/>
      <c r="G21" s="17"/>
      <c r="H21" s="22"/>
      <c r="I21" s="23"/>
      <c r="J21" s="41"/>
      <c r="K21" s="12"/>
      <c r="L21" s="12"/>
      <c r="M21" s="45"/>
      <c r="N21" s="140"/>
      <c r="O21" s="141"/>
      <c r="P21" s="13"/>
      <c r="Q21" s="14"/>
      <c r="R21" s="14"/>
    </row>
    <row r="22" spans="1:18" ht="15.75" customHeight="1" outlineLevel="1">
      <c r="A22" s="38" t="s">
        <v>109</v>
      </c>
      <c r="B22" s="39"/>
      <c r="C22" s="40"/>
      <c r="D22" s="9"/>
      <c r="E22" s="94"/>
      <c r="F22" s="95"/>
      <c r="G22" s="17"/>
      <c r="H22" s="25"/>
      <c r="I22" s="24"/>
      <c r="J22" s="51"/>
      <c r="K22" s="3"/>
      <c r="L22" s="3"/>
      <c r="M22" s="49"/>
      <c r="N22" s="142"/>
      <c r="O22" s="143"/>
      <c r="P22" s="4"/>
      <c r="Q22" s="14"/>
      <c r="R22" s="14"/>
    </row>
    <row r="23" spans="1:18" ht="15.75" customHeight="1">
      <c r="E23" s="107"/>
      <c r="F23" s="108"/>
      <c r="G23" s="105"/>
      <c r="H23" s="106"/>
      <c r="I23" s="26"/>
      <c r="N23" s="124"/>
      <c r="O23" s="124"/>
    </row>
    <row r="24" spans="1:18" ht="15.75" customHeight="1"/>
    <row r="25" spans="1:18" ht="15.75" customHeight="1"/>
    <row r="26" spans="1:18" ht="15.75" customHeight="1"/>
    <row r="27" spans="1:18" ht="15.75" customHeight="1"/>
    <row r="28" spans="1:18" ht="15.75" customHeight="1"/>
    <row r="29" spans="1:18" ht="15.75" customHeight="1"/>
    <row r="30" spans="1:18" ht="15.75" customHeight="1"/>
    <row r="31" spans="1:18" ht="15.75" customHeight="1"/>
    <row r="32" spans="1:18" ht="15.75" customHeight="1"/>
    <row r="33" spans="5:18" ht="15.75" customHeight="1"/>
    <row r="34" spans="5:18" ht="15.75" customHeight="1"/>
    <row r="35" spans="5:18" ht="15.75" customHeight="1"/>
    <row r="36" spans="5:18" s="18" customFormat="1" ht="15.75" customHeight="1">
      <c r="E36" s="21"/>
      <c r="F36" s="44"/>
      <c r="G36" s="27"/>
      <c r="J36"/>
      <c r="K36"/>
      <c r="L36"/>
      <c r="M36"/>
      <c r="N36"/>
      <c r="O36"/>
      <c r="P36"/>
      <c r="Q36"/>
      <c r="R36"/>
    </row>
    <row r="37" spans="5:18" s="18" customFormat="1" ht="15.75" customHeight="1">
      <c r="E37" s="21"/>
      <c r="F37" s="44"/>
      <c r="G37" s="27"/>
      <c r="J37"/>
      <c r="K37"/>
      <c r="L37"/>
      <c r="M37"/>
      <c r="N37"/>
      <c r="O37"/>
      <c r="P37"/>
      <c r="Q37"/>
      <c r="R37"/>
    </row>
    <row r="38" spans="5:18" s="18" customFormat="1" ht="15.75" customHeight="1">
      <c r="E38" s="21"/>
      <c r="F38" s="44"/>
      <c r="G38" s="27"/>
      <c r="J38"/>
      <c r="K38"/>
      <c r="L38"/>
      <c r="M38"/>
      <c r="N38"/>
      <c r="O38"/>
      <c r="P38"/>
      <c r="Q38"/>
      <c r="R38"/>
    </row>
    <row r="39" spans="5:18" s="18" customFormat="1" ht="15.75" customHeight="1">
      <c r="E39" s="21"/>
      <c r="F39" s="44"/>
      <c r="G39" s="27"/>
      <c r="J39"/>
      <c r="K39"/>
      <c r="L39"/>
      <c r="M39"/>
      <c r="N39"/>
      <c r="O39"/>
      <c r="P39"/>
      <c r="Q39"/>
      <c r="R39"/>
    </row>
    <row r="40" spans="5:18" s="18" customFormat="1" ht="15.75" customHeight="1">
      <c r="E40" s="21"/>
      <c r="F40" s="44"/>
      <c r="G40" s="27"/>
      <c r="J40"/>
      <c r="K40"/>
      <c r="L40"/>
      <c r="M40"/>
      <c r="N40"/>
      <c r="O40"/>
      <c r="P40"/>
      <c r="Q40"/>
      <c r="R40"/>
    </row>
    <row r="41" spans="5:18" s="18" customFormat="1" ht="15.75" customHeight="1">
      <c r="E41" s="21"/>
      <c r="F41" s="44"/>
      <c r="G41" s="27"/>
      <c r="J41"/>
      <c r="K41"/>
      <c r="L41"/>
      <c r="M41"/>
      <c r="N41"/>
      <c r="O41"/>
      <c r="P41"/>
      <c r="Q41"/>
      <c r="R41"/>
    </row>
    <row r="42" spans="5:18" s="18" customFormat="1" ht="15.75" customHeight="1">
      <c r="E42" s="21"/>
      <c r="F42" s="44"/>
      <c r="G42" s="27"/>
      <c r="J42"/>
      <c r="K42"/>
      <c r="L42"/>
      <c r="M42"/>
      <c r="N42"/>
      <c r="O42"/>
      <c r="P42"/>
      <c r="Q42"/>
      <c r="R42"/>
    </row>
    <row r="43" spans="5:18" s="18" customFormat="1" ht="15.75" customHeight="1">
      <c r="E43" s="21"/>
      <c r="F43" s="44"/>
      <c r="G43" s="27"/>
      <c r="J43"/>
      <c r="K43"/>
      <c r="L43"/>
      <c r="M43"/>
      <c r="N43"/>
      <c r="O43"/>
      <c r="P43"/>
      <c r="Q43"/>
      <c r="R43"/>
    </row>
    <row r="44" spans="5:18" s="18" customFormat="1" ht="15.75" customHeight="1">
      <c r="E44" s="21"/>
      <c r="F44" s="44"/>
      <c r="G44" s="27"/>
      <c r="J44"/>
      <c r="K44"/>
      <c r="L44"/>
      <c r="M44"/>
      <c r="N44"/>
      <c r="O44"/>
      <c r="P44"/>
      <c r="Q44"/>
      <c r="R44"/>
    </row>
    <row r="45" spans="5:18" s="18" customFormat="1" ht="15.75" customHeight="1">
      <c r="E45" s="21"/>
      <c r="F45" s="44"/>
      <c r="G45" s="27"/>
      <c r="J45"/>
      <c r="K45"/>
      <c r="L45"/>
      <c r="M45"/>
      <c r="N45"/>
      <c r="O45"/>
      <c r="P45"/>
      <c r="Q45"/>
      <c r="R45"/>
    </row>
    <row r="46" spans="5:18" s="18" customFormat="1" ht="15.75" customHeight="1">
      <c r="E46" s="21"/>
      <c r="F46" s="44"/>
      <c r="G46" s="27"/>
      <c r="J46"/>
      <c r="K46"/>
      <c r="L46"/>
      <c r="M46"/>
      <c r="N46"/>
      <c r="O46"/>
      <c r="P46"/>
      <c r="Q46"/>
      <c r="R46"/>
    </row>
    <row r="47" spans="5:18" s="18" customFormat="1" ht="15.75" customHeight="1">
      <c r="E47" s="21"/>
      <c r="F47" s="44"/>
      <c r="G47" s="27"/>
      <c r="J47"/>
      <c r="K47"/>
      <c r="L47"/>
      <c r="M47"/>
      <c r="N47"/>
      <c r="O47"/>
      <c r="P47"/>
      <c r="Q47"/>
      <c r="R47"/>
    </row>
    <row r="48" spans="5:18" s="18" customFormat="1" ht="15.75" customHeight="1">
      <c r="E48" s="21"/>
      <c r="F48" s="44"/>
      <c r="G48" s="27"/>
      <c r="J48"/>
      <c r="K48"/>
      <c r="L48"/>
      <c r="M48"/>
      <c r="N48"/>
      <c r="O48"/>
      <c r="P48"/>
      <c r="Q48"/>
      <c r="R48"/>
    </row>
    <row r="49" spans="5:18" s="18" customFormat="1" ht="15.75" customHeight="1">
      <c r="E49" s="21"/>
      <c r="F49" s="44"/>
      <c r="G49" s="27"/>
      <c r="J49"/>
      <c r="K49"/>
      <c r="L49"/>
      <c r="M49"/>
      <c r="N49"/>
      <c r="O49"/>
      <c r="P49"/>
      <c r="Q49"/>
      <c r="R49"/>
    </row>
    <row r="50" spans="5:18" s="18" customFormat="1" ht="15.75" customHeight="1">
      <c r="E50" s="21"/>
      <c r="F50" s="44"/>
      <c r="G50" s="27"/>
      <c r="J50"/>
      <c r="K50"/>
      <c r="L50"/>
      <c r="M50"/>
      <c r="N50"/>
      <c r="O50"/>
      <c r="P50"/>
      <c r="Q50"/>
      <c r="R50"/>
    </row>
    <row r="51" spans="5:18" s="18" customFormat="1" ht="15.75" customHeight="1">
      <c r="E51" s="21"/>
      <c r="F51" s="44"/>
      <c r="G51" s="27"/>
      <c r="J51"/>
      <c r="K51"/>
      <c r="L51"/>
      <c r="M51"/>
      <c r="N51"/>
      <c r="O51"/>
      <c r="P51"/>
      <c r="Q51"/>
      <c r="R51"/>
    </row>
    <row r="52" spans="5:18" s="18" customFormat="1" ht="15.75" customHeight="1">
      <c r="E52" s="21"/>
      <c r="F52" s="44"/>
      <c r="G52" s="27"/>
      <c r="J52"/>
      <c r="K52"/>
      <c r="L52"/>
      <c r="M52"/>
      <c r="N52"/>
      <c r="O52"/>
      <c r="P52"/>
      <c r="Q52"/>
      <c r="R52"/>
    </row>
    <row r="53" spans="5:18" s="18" customFormat="1" ht="15.75" customHeight="1">
      <c r="E53" s="21"/>
      <c r="F53" s="44"/>
      <c r="G53" s="27"/>
      <c r="J53"/>
      <c r="K53"/>
      <c r="L53"/>
      <c r="M53"/>
      <c r="N53"/>
      <c r="O53"/>
      <c r="P53"/>
      <c r="Q53"/>
      <c r="R53"/>
    </row>
    <row r="54" spans="5:18" s="18" customFormat="1" ht="15.75" customHeight="1">
      <c r="E54" s="21"/>
      <c r="F54" s="44"/>
      <c r="G54" s="27"/>
      <c r="J54"/>
      <c r="K54"/>
      <c r="L54"/>
      <c r="M54"/>
      <c r="N54"/>
      <c r="O54"/>
      <c r="P54"/>
      <c r="Q54"/>
      <c r="R54"/>
    </row>
    <row r="55" spans="5:18" s="18" customFormat="1" ht="15.75" customHeight="1">
      <c r="E55" s="21"/>
      <c r="F55" s="44"/>
      <c r="G55" s="27"/>
      <c r="J55"/>
      <c r="K55"/>
      <c r="L55"/>
      <c r="M55"/>
      <c r="N55"/>
      <c r="O55"/>
      <c r="P55"/>
      <c r="Q55"/>
      <c r="R55"/>
    </row>
    <row r="56" spans="5:18" s="18" customFormat="1" ht="15.75" customHeight="1">
      <c r="E56" s="21"/>
      <c r="F56" s="44"/>
      <c r="G56" s="27"/>
      <c r="J56"/>
      <c r="K56"/>
      <c r="L56"/>
      <c r="M56"/>
      <c r="N56"/>
      <c r="O56"/>
      <c r="P56"/>
      <c r="Q56"/>
      <c r="R56"/>
    </row>
    <row r="57" spans="5:18" s="18" customFormat="1" ht="15.75" customHeight="1">
      <c r="E57" s="21"/>
      <c r="F57" s="44"/>
      <c r="G57" s="27"/>
      <c r="J57"/>
      <c r="K57"/>
      <c r="L57"/>
      <c r="M57"/>
      <c r="N57"/>
      <c r="O57"/>
      <c r="P57"/>
      <c r="Q57"/>
      <c r="R57"/>
    </row>
    <row r="58" spans="5:18" s="18" customFormat="1" ht="15.75" customHeight="1">
      <c r="E58" s="21"/>
      <c r="F58" s="44"/>
      <c r="G58" s="27"/>
      <c r="J58"/>
      <c r="K58"/>
      <c r="L58"/>
      <c r="M58"/>
      <c r="N58"/>
      <c r="O58"/>
      <c r="P58"/>
      <c r="Q58"/>
      <c r="R58"/>
    </row>
    <row r="59" spans="5:18" s="18" customFormat="1" ht="15.75" customHeight="1">
      <c r="E59" s="21"/>
      <c r="F59" s="44"/>
      <c r="G59" s="27"/>
      <c r="J59"/>
      <c r="K59"/>
      <c r="L59"/>
      <c r="M59"/>
      <c r="N59"/>
      <c r="O59"/>
      <c r="P59"/>
      <c r="Q59"/>
      <c r="R59"/>
    </row>
    <row r="60" spans="5:18" s="18" customFormat="1" ht="15.75" customHeight="1">
      <c r="E60" s="21"/>
      <c r="F60" s="44"/>
      <c r="G60" s="27"/>
      <c r="J60"/>
      <c r="K60"/>
      <c r="L60"/>
      <c r="M60"/>
      <c r="N60"/>
      <c r="O60"/>
      <c r="P60"/>
      <c r="Q60"/>
      <c r="R60"/>
    </row>
    <row r="61" spans="5:18" s="18" customFormat="1" ht="15.75" customHeight="1">
      <c r="E61" s="21"/>
      <c r="F61" s="44"/>
      <c r="G61" s="27"/>
      <c r="J61"/>
      <c r="K61"/>
      <c r="L61"/>
      <c r="M61"/>
      <c r="N61"/>
      <c r="O61"/>
      <c r="P61"/>
      <c r="Q61"/>
      <c r="R61"/>
    </row>
    <row r="62" spans="5:18" s="18" customFormat="1" ht="15.75" customHeight="1">
      <c r="E62" s="21"/>
      <c r="F62" s="44"/>
      <c r="G62" s="27"/>
      <c r="J62"/>
      <c r="K62"/>
      <c r="L62"/>
      <c r="M62"/>
      <c r="N62"/>
      <c r="O62"/>
      <c r="P62"/>
      <c r="Q62"/>
      <c r="R62"/>
    </row>
    <row r="63" spans="5:18" s="18" customFormat="1" ht="15.75" customHeight="1">
      <c r="E63" s="21"/>
      <c r="F63" s="44"/>
      <c r="G63" s="27"/>
      <c r="J63"/>
      <c r="K63"/>
      <c r="L63"/>
      <c r="M63"/>
      <c r="N63"/>
      <c r="O63"/>
      <c r="P63"/>
      <c r="Q63"/>
      <c r="R63"/>
    </row>
    <row r="64" spans="5:18" s="18" customFormat="1" ht="15.75" customHeight="1">
      <c r="E64" s="21"/>
      <c r="F64" s="44"/>
      <c r="G64" s="27"/>
      <c r="J64"/>
      <c r="K64"/>
      <c r="L64"/>
      <c r="M64"/>
      <c r="N64"/>
      <c r="O64"/>
      <c r="P64"/>
      <c r="Q64"/>
      <c r="R64"/>
    </row>
    <row r="65" spans="5:18" s="18" customFormat="1" ht="15.75" customHeight="1">
      <c r="E65" s="21"/>
      <c r="F65" s="44"/>
      <c r="G65" s="27"/>
      <c r="J65"/>
      <c r="K65"/>
      <c r="L65"/>
      <c r="M65"/>
      <c r="N65"/>
      <c r="O65"/>
      <c r="P65"/>
      <c r="Q65"/>
      <c r="R65"/>
    </row>
    <row r="66" spans="5:18" s="18" customFormat="1" ht="15.75" customHeight="1">
      <c r="E66" s="21"/>
      <c r="F66" s="44"/>
      <c r="G66" s="27"/>
      <c r="J66"/>
      <c r="K66"/>
      <c r="L66"/>
      <c r="M66"/>
      <c r="N66"/>
      <c r="O66"/>
      <c r="P66"/>
      <c r="Q66"/>
      <c r="R66"/>
    </row>
    <row r="67" spans="5:18" s="18" customFormat="1" ht="15.75" customHeight="1">
      <c r="E67" s="21"/>
      <c r="F67" s="44"/>
      <c r="G67" s="27"/>
      <c r="J67"/>
      <c r="K67"/>
      <c r="L67"/>
      <c r="M67"/>
      <c r="N67"/>
      <c r="O67"/>
      <c r="P67"/>
      <c r="Q67"/>
      <c r="R67"/>
    </row>
    <row r="68" spans="5:18" s="18" customFormat="1" ht="15.75" customHeight="1">
      <c r="E68" s="21"/>
      <c r="F68" s="44"/>
      <c r="G68" s="27"/>
      <c r="J68"/>
      <c r="K68"/>
      <c r="L68"/>
      <c r="M68"/>
      <c r="N68"/>
      <c r="O68"/>
      <c r="P68"/>
      <c r="Q68"/>
      <c r="R68"/>
    </row>
    <row r="69" spans="5:18" s="18" customFormat="1" ht="15.75" customHeight="1">
      <c r="E69" s="21"/>
      <c r="F69" s="44"/>
      <c r="G69" s="27"/>
      <c r="J69"/>
      <c r="K69"/>
      <c r="L69"/>
      <c r="M69"/>
      <c r="N69"/>
      <c r="O69"/>
      <c r="P69"/>
      <c r="Q69"/>
      <c r="R69"/>
    </row>
    <row r="70" spans="5:18" s="18" customFormat="1" ht="15.75" customHeight="1">
      <c r="E70" s="21"/>
      <c r="F70" s="44"/>
      <c r="G70" s="27"/>
      <c r="J70"/>
      <c r="K70"/>
      <c r="L70"/>
      <c r="M70"/>
      <c r="N70"/>
      <c r="O70"/>
      <c r="P70"/>
      <c r="Q70"/>
      <c r="R70"/>
    </row>
    <row r="71" spans="5:18" s="18" customFormat="1" ht="15.75" customHeight="1">
      <c r="E71" s="21"/>
      <c r="F71" s="44"/>
      <c r="G71" s="27"/>
      <c r="J71"/>
      <c r="K71"/>
      <c r="L71"/>
      <c r="M71"/>
      <c r="N71"/>
      <c r="O71"/>
      <c r="P71"/>
      <c r="Q71"/>
      <c r="R71"/>
    </row>
    <row r="72" spans="5:18" s="18" customFormat="1" ht="15.75" customHeight="1">
      <c r="E72" s="21"/>
      <c r="F72" s="44"/>
      <c r="G72" s="27"/>
      <c r="J72"/>
      <c r="K72"/>
      <c r="L72"/>
      <c r="M72"/>
      <c r="N72"/>
      <c r="O72"/>
      <c r="P72"/>
      <c r="Q72"/>
      <c r="R72"/>
    </row>
    <row r="73" spans="5:18" s="18" customFormat="1" ht="15.75" customHeight="1">
      <c r="E73" s="21"/>
      <c r="F73" s="44"/>
      <c r="G73" s="27"/>
      <c r="J73"/>
      <c r="K73"/>
      <c r="L73"/>
      <c r="M73"/>
      <c r="N73"/>
      <c r="O73"/>
      <c r="P73"/>
      <c r="Q73"/>
      <c r="R73"/>
    </row>
    <row r="74" spans="5:18" s="18" customFormat="1" ht="15.75" customHeight="1">
      <c r="E74" s="21"/>
      <c r="F74" s="44"/>
      <c r="G74" s="27"/>
      <c r="J74"/>
      <c r="K74"/>
      <c r="L74"/>
      <c r="M74"/>
      <c r="N74"/>
      <c r="O74"/>
      <c r="P74"/>
      <c r="Q74"/>
      <c r="R74"/>
    </row>
    <row r="75" spans="5:18" s="18" customFormat="1" ht="15.75" customHeight="1">
      <c r="E75" s="21"/>
      <c r="F75" s="44"/>
      <c r="G75" s="27"/>
      <c r="J75"/>
      <c r="K75"/>
      <c r="L75"/>
      <c r="M75"/>
      <c r="N75"/>
      <c r="O75"/>
      <c r="P75"/>
      <c r="Q75"/>
      <c r="R75"/>
    </row>
    <row r="76" spans="5:18" s="18" customFormat="1" ht="15.75" customHeight="1">
      <c r="E76" s="21"/>
      <c r="F76" s="44"/>
      <c r="G76" s="27"/>
      <c r="J76"/>
      <c r="K76"/>
      <c r="L76"/>
      <c r="M76"/>
      <c r="N76"/>
      <c r="O76"/>
      <c r="P76"/>
      <c r="Q76"/>
      <c r="R76"/>
    </row>
    <row r="77" spans="5:18" s="18" customFormat="1" ht="15.75" customHeight="1">
      <c r="E77" s="21"/>
      <c r="F77" s="44"/>
      <c r="G77" s="27"/>
      <c r="J77"/>
      <c r="K77"/>
      <c r="L77"/>
      <c r="M77"/>
      <c r="N77"/>
      <c r="O77"/>
      <c r="P77"/>
      <c r="Q77"/>
      <c r="R77"/>
    </row>
    <row r="78" spans="5:18" s="18" customFormat="1" ht="15.75" customHeight="1">
      <c r="E78" s="21"/>
      <c r="F78" s="44"/>
      <c r="G78" s="27"/>
      <c r="J78"/>
      <c r="K78"/>
      <c r="L78"/>
      <c r="M78"/>
      <c r="N78"/>
      <c r="O78"/>
      <c r="P78"/>
      <c r="Q78"/>
      <c r="R78"/>
    </row>
    <row r="79" spans="5:18" s="18" customFormat="1" ht="15.75" customHeight="1">
      <c r="E79" s="21"/>
      <c r="F79" s="44"/>
      <c r="G79" s="27"/>
      <c r="J79"/>
      <c r="K79"/>
      <c r="L79"/>
      <c r="M79"/>
      <c r="N79"/>
      <c r="O79"/>
      <c r="P79"/>
      <c r="Q79"/>
      <c r="R79"/>
    </row>
    <row r="80" spans="5:18" s="18" customFormat="1" ht="15.75" customHeight="1">
      <c r="E80" s="21"/>
      <c r="F80" s="44"/>
      <c r="G80" s="27"/>
      <c r="J80"/>
      <c r="K80"/>
      <c r="L80"/>
      <c r="M80"/>
      <c r="N80"/>
      <c r="O80"/>
      <c r="P80"/>
      <c r="Q80"/>
      <c r="R80"/>
    </row>
    <row r="81" spans="5:18" s="18" customFormat="1" ht="15.75" customHeight="1">
      <c r="E81" s="21"/>
      <c r="F81" s="44"/>
      <c r="G81" s="27"/>
      <c r="J81"/>
      <c r="K81"/>
      <c r="L81"/>
      <c r="M81"/>
      <c r="N81"/>
      <c r="O81"/>
      <c r="P81"/>
      <c r="Q81"/>
      <c r="R81"/>
    </row>
    <row r="82" spans="5:18" s="18" customFormat="1" ht="15.75" customHeight="1">
      <c r="E82" s="21"/>
      <c r="F82" s="44"/>
      <c r="G82" s="27"/>
      <c r="J82"/>
      <c r="K82"/>
      <c r="L82"/>
      <c r="M82"/>
      <c r="N82"/>
      <c r="O82"/>
      <c r="P82"/>
      <c r="Q82"/>
      <c r="R82"/>
    </row>
    <row r="83" spans="5:18" s="18" customFormat="1" ht="15.75" customHeight="1">
      <c r="E83" s="21"/>
      <c r="F83" s="44"/>
      <c r="G83" s="27"/>
      <c r="J83"/>
      <c r="K83"/>
      <c r="L83"/>
      <c r="M83"/>
      <c r="N83"/>
      <c r="O83"/>
      <c r="P83"/>
      <c r="Q83"/>
      <c r="R83"/>
    </row>
    <row r="84" spans="5:18" s="18" customFormat="1" ht="15.75" customHeight="1">
      <c r="E84" s="21"/>
      <c r="F84" s="44"/>
      <c r="G84" s="27"/>
      <c r="J84"/>
      <c r="K84"/>
      <c r="L84"/>
      <c r="M84"/>
      <c r="N84"/>
      <c r="O84"/>
      <c r="P84"/>
      <c r="Q84"/>
      <c r="R84"/>
    </row>
    <row r="85" spans="5:18" s="18" customFormat="1" ht="15.75" customHeight="1">
      <c r="E85" s="21"/>
      <c r="F85" s="44"/>
      <c r="G85" s="27"/>
      <c r="J85"/>
      <c r="K85"/>
      <c r="L85"/>
      <c r="M85"/>
      <c r="N85"/>
      <c r="O85"/>
      <c r="P85"/>
      <c r="Q85"/>
      <c r="R85"/>
    </row>
    <row r="86" spans="5:18" s="18" customFormat="1" ht="15.75" customHeight="1">
      <c r="E86" s="21"/>
      <c r="F86" s="44"/>
      <c r="G86" s="27"/>
      <c r="J86"/>
      <c r="K86"/>
      <c r="L86"/>
      <c r="M86"/>
      <c r="N86"/>
      <c r="O86"/>
      <c r="P86"/>
      <c r="Q86"/>
      <c r="R86"/>
    </row>
    <row r="87" spans="5:18" s="18" customFormat="1" ht="15.75" customHeight="1">
      <c r="E87" s="21"/>
      <c r="F87" s="44"/>
      <c r="G87" s="27"/>
      <c r="J87"/>
      <c r="K87"/>
      <c r="L87"/>
      <c r="M87"/>
      <c r="N87"/>
      <c r="O87"/>
      <c r="P87"/>
      <c r="Q87"/>
      <c r="R87"/>
    </row>
    <row r="88" spans="5:18" s="18" customFormat="1" ht="15.75" customHeight="1">
      <c r="E88" s="21"/>
      <c r="F88" s="44"/>
      <c r="G88" s="27"/>
      <c r="J88"/>
      <c r="K88"/>
      <c r="L88"/>
      <c r="M88"/>
      <c r="N88"/>
      <c r="O88"/>
      <c r="P88"/>
      <c r="Q88"/>
      <c r="R88"/>
    </row>
    <row r="89" spans="5:18" s="18" customFormat="1" ht="15.75" customHeight="1">
      <c r="E89" s="21"/>
      <c r="F89" s="44"/>
      <c r="G89" s="27"/>
      <c r="J89"/>
      <c r="K89"/>
      <c r="L89"/>
      <c r="M89"/>
      <c r="N89"/>
      <c r="O89"/>
      <c r="P89"/>
      <c r="Q89"/>
      <c r="R89"/>
    </row>
    <row r="90" spans="5:18" s="18" customFormat="1" ht="15.75" customHeight="1">
      <c r="E90" s="21"/>
      <c r="F90" s="44"/>
      <c r="G90" s="27"/>
      <c r="J90"/>
      <c r="K90"/>
      <c r="L90"/>
      <c r="M90"/>
      <c r="N90"/>
      <c r="O90"/>
      <c r="P90"/>
      <c r="Q90"/>
      <c r="R90"/>
    </row>
    <row r="91" spans="5:18" s="18" customFormat="1" ht="15.75" customHeight="1">
      <c r="E91" s="21"/>
      <c r="F91" s="44"/>
      <c r="G91" s="27"/>
      <c r="J91"/>
      <c r="K91"/>
      <c r="L91"/>
      <c r="M91"/>
      <c r="N91"/>
      <c r="O91"/>
      <c r="P91"/>
      <c r="Q91"/>
      <c r="R91"/>
    </row>
    <row r="92" spans="5:18" s="18" customFormat="1" ht="15.75" customHeight="1">
      <c r="E92" s="21"/>
      <c r="F92" s="44"/>
      <c r="G92" s="27"/>
      <c r="J92"/>
      <c r="K92"/>
      <c r="L92"/>
      <c r="M92"/>
      <c r="N92"/>
      <c r="O92"/>
      <c r="P92"/>
      <c r="Q92"/>
      <c r="R92"/>
    </row>
    <row r="93" spans="5:18" s="18" customFormat="1" ht="15.75" customHeight="1">
      <c r="E93" s="21"/>
      <c r="F93" s="44"/>
      <c r="G93" s="27"/>
      <c r="J93"/>
      <c r="K93"/>
      <c r="L93"/>
      <c r="M93"/>
      <c r="N93"/>
      <c r="O93"/>
      <c r="P93"/>
      <c r="Q93"/>
      <c r="R93"/>
    </row>
    <row r="94" spans="5:18" s="18" customFormat="1" ht="15.75" customHeight="1">
      <c r="E94" s="21"/>
      <c r="F94" s="44"/>
      <c r="G94" s="27"/>
      <c r="J94"/>
      <c r="K94"/>
      <c r="L94"/>
      <c r="M94"/>
      <c r="N94"/>
      <c r="O94"/>
      <c r="P94"/>
      <c r="Q94"/>
      <c r="R94"/>
    </row>
    <row r="95" spans="5:18" s="18" customFormat="1" ht="15.75" customHeight="1">
      <c r="E95" s="21"/>
      <c r="F95" s="44"/>
      <c r="G95" s="27"/>
      <c r="J95"/>
      <c r="K95"/>
      <c r="L95"/>
      <c r="M95"/>
      <c r="N95"/>
      <c r="O95"/>
      <c r="P95"/>
      <c r="Q95"/>
      <c r="R95"/>
    </row>
    <row r="96" spans="5:18" s="18" customFormat="1" ht="15.75" customHeight="1">
      <c r="E96" s="21"/>
      <c r="F96" s="44"/>
      <c r="G96" s="27"/>
      <c r="J96"/>
      <c r="K96"/>
      <c r="L96"/>
      <c r="M96"/>
      <c r="N96"/>
      <c r="O96"/>
      <c r="P96"/>
      <c r="Q96"/>
      <c r="R96"/>
    </row>
    <row r="97" spans="5:18" s="18" customFormat="1" ht="15.75" customHeight="1">
      <c r="E97" s="21"/>
      <c r="F97" s="44"/>
      <c r="G97" s="27"/>
      <c r="J97"/>
      <c r="K97"/>
      <c r="L97"/>
      <c r="M97"/>
      <c r="N97"/>
      <c r="O97"/>
      <c r="P97"/>
      <c r="Q97"/>
      <c r="R97"/>
    </row>
    <row r="98" spans="5:18" s="18" customFormat="1" ht="15.75" customHeight="1">
      <c r="E98" s="21"/>
      <c r="F98" s="44"/>
      <c r="G98" s="27"/>
      <c r="J98"/>
      <c r="K98"/>
      <c r="L98"/>
      <c r="M98"/>
      <c r="N98"/>
      <c r="O98"/>
      <c r="P98"/>
      <c r="Q98"/>
      <c r="R98"/>
    </row>
    <row r="99" spans="5:18" s="18" customFormat="1" ht="15.75" customHeight="1">
      <c r="E99" s="21"/>
      <c r="F99" s="44"/>
      <c r="G99" s="27"/>
      <c r="J99"/>
      <c r="K99"/>
      <c r="L99"/>
      <c r="M99"/>
      <c r="N99"/>
      <c r="O99"/>
      <c r="P99"/>
      <c r="Q99"/>
      <c r="R99"/>
    </row>
    <row r="100" spans="5:18" s="18" customFormat="1" ht="15.75" customHeight="1">
      <c r="E100" s="21"/>
      <c r="F100" s="44"/>
      <c r="G100" s="27"/>
      <c r="J100"/>
      <c r="K100"/>
      <c r="L100"/>
      <c r="M100"/>
      <c r="N100"/>
      <c r="O100"/>
      <c r="P100"/>
      <c r="Q100"/>
      <c r="R100"/>
    </row>
    <row r="101" spans="5:18" s="18" customFormat="1" ht="15.75" customHeight="1">
      <c r="E101" s="21"/>
      <c r="F101" s="44"/>
      <c r="G101" s="27"/>
      <c r="J101"/>
      <c r="K101"/>
      <c r="L101"/>
      <c r="M101"/>
      <c r="N101"/>
      <c r="O101"/>
      <c r="P101"/>
      <c r="Q101"/>
      <c r="R101"/>
    </row>
    <row r="102" spans="5:18" s="18" customFormat="1" ht="15.75" customHeight="1">
      <c r="E102" s="21"/>
      <c r="F102" s="44"/>
      <c r="G102" s="27"/>
      <c r="J102"/>
      <c r="K102"/>
      <c r="L102"/>
      <c r="M102"/>
      <c r="N102"/>
      <c r="O102"/>
      <c r="P102"/>
      <c r="Q102"/>
      <c r="R102"/>
    </row>
    <row r="103" spans="5:18" s="18" customFormat="1" ht="15.75" customHeight="1">
      <c r="E103" s="21"/>
      <c r="F103" s="44"/>
      <c r="G103" s="27"/>
      <c r="J103"/>
      <c r="K103"/>
      <c r="L103"/>
      <c r="M103"/>
      <c r="N103"/>
      <c r="O103"/>
      <c r="P103"/>
      <c r="Q103"/>
      <c r="R103"/>
    </row>
    <row r="104" spans="5:18" s="18" customFormat="1" ht="15.75" customHeight="1">
      <c r="E104" s="21"/>
      <c r="F104" s="44"/>
      <c r="G104" s="27"/>
      <c r="J104"/>
      <c r="K104"/>
      <c r="L104"/>
      <c r="M104"/>
      <c r="N104"/>
      <c r="O104"/>
      <c r="P104"/>
      <c r="Q104"/>
      <c r="R104"/>
    </row>
    <row r="105" spans="5:18" s="18" customFormat="1" ht="15.75" customHeight="1">
      <c r="E105" s="21"/>
      <c r="F105" s="44"/>
      <c r="G105" s="27"/>
      <c r="J105"/>
      <c r="K105"/>
      <c r="L105"/>
      <c r="M105"/>
      <c r="N105"/>
      <c r="O105"/>
      <c r="P105"/>
      <c r="Q105"/>
      <c r="R105"/>
    </row>
    <row r="106" spans="5:18" s="18" customFormat="1" ht="15.75" customHeight="1">
      <c r="E106" s="21"/>
      <c r="F106" s="44"/>
      <c r="G106" s="27"/>
      <c r="J106"/>
      <c r="K106"/>
      <c r="L106"/>
      <c r="M106"/>
      <c r="N106"/>
      <c r="O106"/>
      <c r="P106"/>
      <c r="Q106"/>
      <c r="R106"/>
    </row>
    <row r="107" spans="5:18" s="18" customFormat="1" ht="15.75" customHeight="1">
      <c r="E107" s="21"/>
      <c r="F107" s="44"/>
      <c r="G107" s="27"/>
      <c r="J107"/>
      <c r="K107"/>
      <c r="L107"/>
      <c r="M107"/>
      <c r="N107"/>
      <c r="O107"/>
      <c r="P107"/>
      <c r="Q107"/>
      <c r="R107"/>
    </row>
    <row r="108" spans="5:18" s="18" customFormat="1" ht="15.75" customHeight="1">
      <c r="E108" s="21"/>
      <c r="F108" s="44"/>
      <c r="G108" s="27"/>
      <c r="J108"/>
      <c r="K108"/>
      <c r="L108"/>
      <c r="M108"/>
      <c r="N108"/>
      <c r="O108"/>
      <c r="P108"/>
      <c r="Q108"/>
      <c r="R108"/>
    </row>
    <row r="109" spans="5:18" s="18" customFormat="1" ht="15.75" customHeight="1">
      <c r="E109" s="21"/>
      <c r="F109" s="44"/>
      <c r="G109" s="27"/>
      <c r="J109"/>
      <c r="K109"/>
      <c r="L109"/>
      <c r="M109"/>
      <c r="N109"/>
      <c r="O109"/>
      <c r="P109"/>
      <c r="Q109"/>
      <c r="R109"/>
    </row>
    <row r="110" spans="5:18" s="18" customFormat="1" ht="15.75" customHeight="1">
      <c r="E110" s="21"/>
      <c r="F110" s="44"/>
      <c r="G110" s="27"/>
      <c r="J110"/>
      <c r="K110"/>
      <c r="L110"/>
      <c r="M110"/>
      <c r="N110"/>
      <c r="O110"/>
      <c r="P110"/>
      <c r="Q110"/>
      <c r="R110"/>
    </row>
    <row r="111" spans="5:18" s="18" customFormat="1" ht="15.75" customHeight="1">
      <c r="E111" s="21"/>
      <c r="F111" s="44"/>
      <c r="G111" s="27"/>
      <c r="J111"/>
      <c r="K111"/>
      <c r="L111"/>
      <c r="M111"/>
      <c r="N111"/>
      <c r="O111"/>
      <c r="P111"/>
      <c r="Q111"/>
      <c r="R111"/>
    </row>
    <row r="112" spans="5:18" s="18" customFormat="1" ht="15.75" customHeight="1">
      <c r="E112" s="21"/>
      <c r="F112" s="44"/>
      <c r="G112" s="27"/>
      <c r="J112"/>
      <c r="K112"/>
      <c r="L112"/>
      <c r="M112"/>
      <c r="N112"/>
      <c r="O112"/>
      <c r="P112"/>
      <c r="Q112"/>
      <c r="R112"/>
    </row>
    <row r="113" spans="5:18" s="18" customFormat="1" ht="15.75" customHeight="1">
      <c r="E113" s="21"/>
      <c r="F113" s="44"/>
      <c r="G113" s="27"/>
      <c r="J113"/>
      <c r="K113"/>
      <c r="L113"/>
      <c r="M113"/>
      <c r="N113"/>
      <c r="O113"/>
      <c r="P113"/>
      <c r="Q113"/>
      <c r="R113"/>
    </row>
    <row r="114" spans="5:18" s="18" customFormat="1" ht="15.75" customHeight="1">
      <c r="E114" s="21"/>
      <c r="F114" s="44"/>
      <c r="G114" s="27"/>
      <c r="J114"/>
      <c r="K114"/>
      <c r="L114"/>
      <c r="M114"/>
      <c r="N114"/>
      <c r="O114"/>
      <c r="P114"/>
      <c r="Q114"/>
      <c r="R114"/>
    </row>
    <row r="115" spans="5:18" s="18" customFormat="1" ht="15.75" customHeight="1">
      <c r="E115" s="21"/>
      <c r="F115" s="44"/>
      <c r="G115" s="27"/>
      <c r="J115"/>
      <c r="K115"/>
      <c r="L115"/>
      <c r="M115"/>
      <c r="N115"/>
      <c r="O115"/>
      <c r="P115"/>
      <c r="Q115"/>
      <c r="R115"/>
    </row>
    <row r="116" spans="5:18" s="18" customFormat="1" ht="15.75" customHeight="1">
      <c r="E116" s="21"/>
      <c r="F116" s="44"/>
      <c r="G116" s="27"/>
      <c r="J116"/>
      <c r="K116"/>
      <c r="L116"/>
      <c r="M116"/>
      <c r="N116"/>
      <c r="O116"/>
      <c r="P116"/>
      <c r="Q116"/>
      <c r="R116"/>
    </row>
    <row r="117" spans="5:18" s="18" customFormat="1" ht="15.75" customHeight="1">
      <c r="E117" s="21"/>
      <c r="F117" s="44"/>
      <c r="G117" s="27"/>
      <c r="J117"/>
      <c r="K117"/>
      <c r="L117"/>
      <c r="M117"/>
      <c r="N117"/>
      <c r="O117"/>
      <c r="P117"/>
      <c r="Q117"/>
      <c r="R117"/>
    </row>
    <row r="118" spans="5:18" s="18" customFormat="1" ht="15.75" customHeight="1">
      <c r="E118" s="21"/>
      <c r="F118" s="44"/>
      <c r="G118" s="27"/>
      <c r="J118"/>
      <c r="K118"/>
      <c r="L118"/>
      <c r="M118"/>
      <c r="N118"/>
      <c r="O118"/>
      <c r="P118"/>
      <c r="Q118"/>
      <c r="R118"/>
    </row>
    <row r="119" spans="5:18" s="18" customFormat="1" ht="15.75" customHeight="1">
      <c r="E119" s="21"/>
      <c r="F119" s="44"/>
      <c r="G119" s="27"/>
      <c r="J119"/>
      <c r="K119"/>
      <c r="L119"/>
      <c r="M119"/>
      <c r="N119"/>
      <c r="O119"/>
      <c r="P119"/>
      <c r="Q119"/>
      <c r="R119"/>
    </row>
    <row r="120" spans="5:18" s="18" customFormat="1" ht="15.75" customHeight="1">
      <c r="E120" s="21"/>
      <c r="F120" s="44"/>
      <c r="G120" s="27"/>
      <c r="J120"/>
      <c r="K120"/>
      <c r="L120"/>
      <c r="M120"/>
      <c r="N120"/>
      <c r="O120"/>
      <c r="P120"/>
      <c r="Q120"/>
      <c r="R120"/>
    </row>
    <row r="121" spans="5:18" s="18" customFormat="1" ht="15.75" customHeight="1">
      <c r="E121" s="21"/>
      <c r="F121" s="44"/>
      <c r="G121" s="27"/>
      <c r="J121"/>
      <c r="K121"/>
      <c r="L121"/>
      <c r="M121"/>
      <c r="N121"/>
      <c r="O121"/>
      <c r="P121"/>
      <c r="Q121"/>
      <c r="R121"/>
    </row>
    <row r="122" spans="5:18" s="18" customFormat="1" ht="15.75" customHeight="1">
      <c r="E122" s="21"/>
      <c r="F122" s="44"/>
      <c r="G122" s="27"/>
      <c r="J122"/>
      <c r="K122"/>
      <c r="L122"/>
      <c r="M122"/>
      <c r="N122"/>
      <c r="O122"/>
      <c r="P122"/>
      <c r="Q122"/>
      <c r="R122"/>
    </row>
    <row r="123" spans="5:18" s="18" customFormat="1" ht="15.75" customHeight="1">
      <c r="E123" s="21"/>
      <c r="F123" s="44"/>
      <c r="G123" s="27"/>
      <c r="J123"/>
      <c r="K123"/>
      <c r="L123"/>
      <c r="M123"/>
      <c r="N123"/>
      <c r="O123"/>
      <c r="P123"/>
      <c r="Q123"/>
      <c r="R123"/>
    </row>
    <row r="124" spans="5:18" s="18" customFormat="1" ht="15.75" customHeight="1">
      <c r="E124" s="21"/>
      <c r="F124" s="44"/>
      <c r="G124" s="27"/>
      <c r="J124"/>
      <c r="K124"/>
      <c r="L124"/>
      <c r="M124"/>
      <c r="N124"/>
      <c r="O124"/>
      <c r="P124"/>
      <c r="Q124"/>
      <c r="R124"/>
    </row>
    <row r="125" spans="5:18" s="18" customFormat="1" ht="15.75" customHeight="1">
      <c r="E125" s="21"/>
      <c r="F125" s="44"/>
      <c r="G125" s="27"/>
      <c r="J125"/>
      <c r="K125"/>
      <c r="L125"/>
      <c r="M125"/>
      <c r="N125"/>
      <c r="O125"/>
      <c r="P125"/>
      <c r="Q125"/>
      <c r="R125"/>
    </row>
    <row r="126" spans="5:18" s="18" customFormat="1" ht="15.75" customHeight="1">
      <c r="E126" s="21"/>
      <c r="F126" s="44"/>
      <c r="G126" s="27"/>
      <c r="J126"/>
      <c r="K126"/>
      <c r="L126"/>
      <c r="M126"/>
      <c r="N126"/>
      <c r="O126"/>
      <c r="P126"/>
      <c r="Q126"/>
      <c r="R126"/>
    </row>
    <row r="127" spans="5:18" s="18" customFormat="1" ht="15.75" customHeight="1">
      <c r="E127" s="21"/>
      <c r="F127" s="44"/>
      <c r="G127" s="27"/>
      <c r="J127"/>
      <c r="K127"/>
      <c r="L127"/>
      <c r="M127"/>
      <c r="N127"/>
      <c r="O127"/>
      <c r="P127"/>
      <c r="Q127"/>
      <c r="R127"/>
    </row>
    <row r="128" spans="5:18" s="18" customFormat="1" ht="15.75" customHeight="1">
      <c r="E128" s="21"/>
      <c r="F128" s="44"/>
      <c r="G128" s="27"/>
      <c r="J128"/>
      <c r="K128"/>
      <c r="L128"/>
      <c r="M128"/>
      <c r="N128"/>
      <c r="O128"/>
      <c r="P128"/>
      <c r="Q128"/>
      <c r="R128"/>
    </row>
    <row r="129" spans="5:18" s="18" customFormat="1" ht="15.75" customHeight="1">
      <c r="E129" s="21"/>
      <c r="F129" s="44"/>
      <c r="G129" s="27"/>
      <c r="J129"/>
      <c r="K129"/>
      <c r="L129"/>
      <c r="M129"/>
      <c r="N129"/>
      <c r="O129"/>
      <c r="P129"/>
      <c r="Q129"/>
      <c r="R129"/>
    </row>
    <row r="130" spans="5:18" s="18" customFormat="1" ht="15.75" customHeight="1">
      <c r="E130" s="21"/>
      <c r="F130" s="44"/>
      <c r="G130" s="27"/>
      <c r="J130"/>
      <c r="K130"/>
      <c r="L130"/>
      <c r="M130"/>
      <c r="N130"/>
      <c r="O130"/>
      <c r="P130"/>
      <c r="Q130"/>
      <c r="R130"/>
    </row>
    <row r="131" spans="5:18" s="18" customFormat="1" ht="15.75" customHeight="1">
      <c r="E131" s="21"/>
      <c r="F131" s="44"/>
      <c r="G131" s="27"/>
      <c r="J131"/>
      <c r="K131"/>
      <c r="L131"/>
      <c r="M131"/>
      <c r="N131"/>
      <c r="O131"/>
      <c r="P131"/>
      <c r="Q131"/>
      <c r="R131"/>
    </row>
    <row r="132" spans="5:18" s="18" customFormat="1" ht="15.75" customHeight="1">
      <c r="E132" s="21"/>
      <c r="F132" s="44"/>
      <c r="G132" s="27"/>
      <c r="J132"/>
      <c r="K132"/>
      <c r="L132"/>
      <c r="M132"/>
      <c r="N132"/>
      <c r="O132"/>
      <c r="P132"/>
      <c r="Q132"/>
      <c r="R132"/>
    </row>
    <row r="133" spans="5:18" s="18" customFormat="1" ht="15.75" customHeight="1">
      <c r="E133" s="21"/>
      <c r="F133" s="44"/>
      <c r="G133" s="27"/>
      <c r="J133"/>
      <c r="K133"/>
      <c r="L133"/>
      <c r="M133"/>
      <c r="N133"/>
      <c r="O133"/>
      <c r="P133"/>
      <c r="Q133"/>
      <c r="R133"/>
    </row>
    <row r="134" spans="5:18" s="18" customFormat="1" ht="15.75" customHeight="1">
      <c r="E134" s="21"/>
      <c r="F134" s="44"/>
      <c r="G134" s="27"/>
      <c r="J134"/>
      <c r="K134"/>
      <c r="L134"/>
      <c r="M134"/>
      <c r="N134"/>
      <c r="O134"/>
      <c r="P134"/>
      <c r="Q134"/>
      <c r="R134"/>
    </row>
    <row r="135" spans="5:18" s="18" customFormat="1" ht="15.75" customHeight="1">
      <c r="E135" s="21"/>
      <c r="F135" s="44"/>
      <c r="G135" s="27"/>
      <c r="J135"/>
      <c r="K135"/>
      <c r="L135"/>
      <c r="M135"/>
      <c r="N135"/>
      <c r="O135"/>
      <c r="P135"/>
      <c r="Q135"/>
      <c r="R135"/>
    </row>
    <row r="136" spans="5:18" s="18" customFormat="1" ht="15.75" customHeight="1">
      <c r="E136" s="21"/>
      <c r="F136" s="44"/>
      <c r="G136" s="27"/>
      <c r="J136"/>
      <c r="K136"/>
      <c r="L136"/>
      <c r="M136"/>
      <c r="N136"/>
      <c r="O136"/>
      <c r="P136"/>
      <c r="Q136"/>
      <c r="R136"/>
    </row>
    <row r="137" spans="5:18" s="18" customFormat="1" ht="15.75" customHeight="1">
      <c r="E137" s="21"/>
      <c r="F137" s="44"/>
      <c r="G137" s="27"/>
      <c r="J137"/>
      <c r="K137"/>
      <c r="L137"/>
      <c r="M137"/>
      <c r="N137"/>
      <c r="O137"/>
      <c r="P137"/>
      <c r="Q137"/>
      <c r="R137"/>
    </row>
    <row r="138" spans="5:18" s="18" customFormat="1" ht="15.75" customHeight="1">
      <c r="E138" s="21"/>
      <c r="F138" s="44"/>
      <c r="G138" s="27"/>
      <c r="J138"/>
      <c r="K138"/>
      <c r="L138"/>
      <c r="M138"/>
      <c r="N138"/>
      <c r="O138"/>
      <c r="P138"/>
      <c r="Q138"/>
      <c r="R138"/>
    </row>
    <row r="139" spans="5:18" s="18" customFormat="1" ht="15.75" customHeight="1">
      <c r="E139" s="21"/>
      <c r="F139" s="44"/>
      <c r="G139" s="27"/>
      <c r="J139"/>
      <c r="K139"/>
      <c r="L139"/>
      <c r="M139"/>
      <c r="N139"/>
      <c r="O139"/>
      <c r="P139"/>
      <c r="Q139"/>
      <c r="R139"/>
    </row>
    <row r="140" spans="5:18" s="18" customFormat="1" ht="15.75" customHeight="1">
      <c r="E140" s="21"/>
      <c r="F140" s="44"/>
      <c r="G140" s="27"/>
      <c r="J140"/>
      <c r="K140"/>
      <c r="L140"/>
      <c r="M140"/>
      <c r="N140"/>
      <c r="O140"/>
      <c r="P140"/>
      <c r="Q140"/>
      <c r="R140"/>
    </row>
    <row r="141" spans="5:18" s="18" customFormat="1" ht="15.75" customHeight="1">
      <c r="E141" s="21"/>
      <c r="F141" s="44"/>
      <c r="G141" s="27"/>
      <c r="J141"/>
      <c r="K141"/>
      <c r="L141"/>
      <c r="M141"/>
      <c r="N141"/>
      <c r="O141"/>
      <c r="P141"/>
      <c r="Q141"/>
      <c r="R141"/>
    </row>
    <row r="142" spans="5:18" s="18" customFormat="1" ht="15.75" customHeight="1">
      <c r="E142" s="21"/>
      <c r="F142" s="44"/>
      <c r="G142" s="27"/>
      <c r="J142"/>
      <c r="K142"/>
      <c r="L142"/>
      <c r="M142"/>
      <c r="N142"/>
      <c r="O142"/>
      <c r="P142"/>
      <c r="Q142"/>
      <c r="R142"/>
    </row>
    <row r="143" spans="5:18" s="18" customFormat="1" ht="15.75" customHeight="1">
      <c r="E143" s="21"/>
      <c r="F143" s="44"/>
      <c r="G143" s="27"/>
      <c r="J143"/>
      <c r="K143"/>
      <c r="L143"/>
      <c r="M143"/>
      <c r="N143"/>
      <c r="O143"/>
      <c r="P143"/>
      <c r="Q143"/>
      <c r="R143"/>
    </row>
    <row r="144" spans="5:18" s="18" customFormat="1" ht="15.75" customHeight="1">
      <c r="E144" s="21"/>
      <c r="F144" s="44"/>
      <c r="G144" s="27"/>
      <c r="J144"/>
      <c r="K144"/>
      <c r="L144"/>
      <c r="M144"/>
      <c r="N144"/>
      <c r="O144"/>
      <c r="P144"/>
      <c r="Q144"/>
      <c r="R144"/>
    </row>
    <row r="145" spans="5:18" s="18" customFormat="1" ht="15.75" customHeight="1">
      <c r="E145" s="21"/>
      <c r="F145" s="44"/>
      <c r="G145" s="27"/>
      <c r="J145"/>
      <c r="K145"/>
      <c r="L145"/>
      <c r="M145"/>
      <c r="N145"/>
      <c r="O145"/>
      <c r="P145"/>
      <c r="Q145"/>
      <c r="R145"/>
    </row>
    <row r="146" spans="5:18" s="18" customFormat="1" ht="15.75" customHeight="1">
      <c r="E146" s="21"/>
      <c r="F146" s="44"/>
      <c r="G146" s="27"/>
      <c r="J146"/>
      <c r="K146"/>
      <c r="L146"/>
      <c r="M146"/>
      <c r="N146"/>
      <c r="O146"/>
      <c r="P146"/>
      <c r="Q146"/>
      <c r="R146"/>
    </row>
    <row r="147" spans="5:18" s="18" customFormat="1" ht="15.75" customHeight="1">
      <c r="E147" s="21"/>
      <c r="F147" s="44"/>
      <c r="G147" s="27"/>
      <c r="J147"/>
      <c r="K147"/>
      <c r="L147"/>
      <c r="M147"/>
      <c r="N147"/>
      <c r="O147"/>
      <c r="P147"/>
      <c r="Q147"/>
      <c r="R147"/>
    </row>
    <row r="148" spans="5:18" s="18" customFormat="1" ht="15.75" customHeight="1">
      <c r="E148" s="21"/>
      <c r="F148" s="44"/>
      <c r="G148" s="27"/>
      <c r="J148"/>
      <c r="K148"/>
      <c r="L148"/>
      <c r="M148"/>
      <c r="N148"/>
      <c r="O148"/>
      <c r="P148"/>
      <c r="Q148"/>
      <c r="R148"/>
    </row>
    <row r="149" spans="5:18" s="18" customFormat="1" ht="15.75" customHeight="1">
      <c r="E149" s="21"/>
      <c r="F149" s="44"/>
      <c r="G149" s="27"/>
      <c r="J149"/>
      <c r="K149"/>
      <c r="L149"/>
      <c r="M149"/>
      <c r="N149"/>
      <c r="O149"/>
      <c r="P149"/>
      <c r="Q149"/>
      <c r="R149"/>
    </row>
  </sheetData>
  <autoFilter ref="A8:P22" xr:uid="{00000000-0009-0000-0000-000000000000}"/>
  <mergeCells count="47">
    <mergeCell ref="B1:D1"/>
    <mergeCell ref="E1:I1"/>
    <mergeCell ref="N1:P1"/>
    <mergeCell ref="E2:E6"/>
    <mergeCell ref="F2:G2"/>
    <mergeCell ref="J2:L6"/>
    <mergeCell ref="M2:M6"/>
    <mergeCell ref="N2:N6"/>
    <mergeCell ref="O2:P6"/>
    <mergeCell ref="F6:I6"/>
    <mergeCell ref="Q2:Q5"/>
    <mergeCell ref="R2:R5"/>
    <mergeCell ref="C3:C5"/>
    <mergeCell ref="D3:D5"/>
    <mergeCell ref="F3:G3"/>
    <mergeCell ref="F4:G4"/>
    <mergeCell ref="F5:G5"/>
    <mergeCell ref="B7:D7"/>
    <mergeCell ref="E7:I7"/>
    <mergeCell ref="J7:L7"/>
    <mergeCell ref="N7:P7"/>
    <mergeCell ref="E8:F8"/>
    <mergeCell ref="N8:O8"/>
    <mergeCell ref="E23:F23"/>
    <mergeCell ref="G23:H23"/>
    <mergeCell ref="N23:O23"/>
    <mergeCell ref="E17:F17"/>
    <mergeCell ref="N17:O17"/>
    <mergeCell ref="E18:F18"/>
    <mergeCell ref="E19:F19"/>
    <mergeCell ref="E20:F20"/>
    <mergeCell ref="E9:F9"/>
    <mergeCell ref="E21:F21"/>
    <mergeCell ref="N21:O21"/>
    <mergeCell ref="E22:F22"/>
    <mergeCell ref="N22:O22"/>
    <mergeCell ref="E13:F13"/>
    <mergeCell ref="E14:F14"/>
    <mergeCell ref="E15:F15"/>
    <mergeCell ref="E16:F16"/>
    <mergeCell ref="N16:O16"/>
    <mergeCell ref="E10:F10"/>
    <mergeCell ref="N10:O10"/>
    <mergeCell ref="E11:F11"/>
    <mergeCell ref="N11:O11"/>
    <mergeCell ref="E12:F12"/>
    <mergeCell ref="N12:O12"/>
  </mergeCells>
  <conditionalFormatting sqref="A10:A12">
    <cfRule type="expression" dxfId="68" priority="2">
      <formula>M10 = "On Hold"</formula>
    </cfRule>
  </conditionalFormatting>
  <conditionalFormatting sqref="A16:A19">
    <cfRule type="expression" dxfId="67" priority="1">
      <formula>M16 = "On Hold"</formula>
    </cfRule>
  </conditionalFormatting>
  <conditionalFormatting sqref="A21:A22">
    <cfRule type="expression" dxfId="66" priority="6">
      <formula>M21 = "On Hold"</formula>
    </cfRule>
  </conditionalFormatting>
  <conditionalFormatting sqref="B2:B5 J10:P22">
    <cfRule type="cellIs" dxfId="65" priority="4" operator="equal">
      <formula>"Done"</formula>
    </cfRule>
    <cfRule type="cellIs" dxfId="64" priority="5" operator="equal">
      <formula>"On Hold"</formula>
    </cfRule>
    <cfRule type="cellIs" dxfId="63" priority="7" operator="equal">
      <formula>"Ready for Review"</formula>
    </cfRule>
    <cfRule type="cellIs" dxfId="62" priority="8" operator="equal">
      <formula>"In Review"</formula>
    </cfRule>
  </conditionalFormatting>
  <dataValidations count="7">
    <dataValidation type="list" allowBlank="1" showErrorMessage="1" sqref="B2" xr:uid="{2F70F731-185A-45FF-B475-753B3BC7C90B}">
      <formula1>STT_Statuses</formula1>
    </dataValidation>
    <dataValidation type="list" allowBlank="1" sqref="B4:B5" xr:uid="{75368FB6-CC7C-4F2B-9904-8985C606C5B9}">
      <formula1>ETL_Statuses</formula1>
    </dataValidation>
    <dataValidation type="list" allowBlank="1" sqref="B3 M10:M22" xr:uid="{BA35A64A-C6AD-4024-BDB7-E8E57136DDE3}">
      <formula1>Statuses</formula1>
    </dataValidation>
    <dataValidation type="list" allowBlank="1" sqref="B9:B22" xr:uid="{D9A008CD-E36A-4733-AD1C-E55D4C8CDAFB}">
      <formula1>Data_Types</formula1>
    </dataValidation>
    <dataValidation type="list" allowBlank="1" sqref="N10:N22" xr:uid="{CCA1890D-D09A-42D5-852E-9AC87BEF44D0}">
      <formula1>Categories</formula1>
    </dataValidation>
    <dataValidation type="list" allowBlank="1" sqref="P10:P22" xr:uid="{01C062FD-4FA5-49EA-9D13-6872F79B8157}">
      <formula1>Versions</formula1>
    </dataValidation>
    <dataValidation type="list" allowBlank="1" sqref="E9:E22" xr:uid="{B106FF8F-C82C-42AC-A757-C43092E0ACF2}">
      <formula1>Sources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32B92-AF59-4B2F-A87D-9D0CFF572B34}">
  <sheetPr>
    <tabColor theme="4" tint="0.59999389629810485"/>
    <outlinePr summaryBelow="0" summaryRight="0"/>
  </sheetPr>
  <dimension ref="A1:R145"/>
  <sheetViews>
    <sheetView zoomScale="110" zoomScaleNormal="110" workbookViewId="0">
      <pane xSplit="1" ySplit="8" topLeftCell="B9" activePane="bottomRight" state="frozen"/>
      <selection pane="bottomRight" activeCell="E9" sqref="E9:F9"/>
      <selection pane="bottomLeft" activeCell="A9" sqref="A9"/>
      <selection pane="topRight" activeCell="B1" sqref="B1"/>
    </sheetView>
  </sheetViews>
  <sheetFormatPr defaultColWidth="12.7109375" defaultRowHeight="15" customHeight="1" outlineLevelRow="1" outlineLevelCol="1"/>
  <cols>
    <col min="1" max="1" width="27" style="18" customWidth="1"/>
    <col min="2" max="2" width="11.85546875" style="18" customWidth="1" outlineLevel="1"/>
    <col min="3" max="3" width="7" style="18" customWidth="1" outlineLevel="1"/>
    <col min="4" max="4" width="28" style="18" customWidth="1" outlineLevel="1"/>
    <col min="5" max="5" width="2.28515625" style="21" customWidth="1"/>
    <col min="6" max="6" width="12.7109375" style="44" customWidth="1" outlineLevel="1"/>
    <col min="7" max="7" width="43.7109375" style="27" customWidth="1" outlineLevel="1"/>
    <col min="8" max="8" width="30.7109375" style="18" customWidth="1" outlineLevel="1"/>
    <col min="9" max="9" width="33.140625" style="18" customWidth="1" outlineLevel="1"/>
    <col min="10" max="10" width="5.85546875" hidden="1" customWidth="1" outlineLevel="1"/>
    <col min="11" max="11" width="5" hidden="1" customWidth="1" outlineLevel="1"/>
    <col min="12" max="12" width="11.7109375" hidden="1" customWidth="1" outlineLevel="1"/>
    <col min="13" max="13" width="2.28515625" customWidth="1"/>
    <col min="14" max="14" width="2.28515625" customWidth="1" collapsed="1"/>
    <col min="15" max="15" width="10.7109375" hidden="1" customWidth="1" outlineLevel="1"/>
    <col min="16" max="16" width="11" hidden="1" customWidth="1" outlineLevel="1"/>
    <col min="17" max="18" width="47.7109375" customWidth="1"/>
  </cols>
  <sheetData>
    <row r="1" spans="1:18" ht="5.25" customHeight="1" outlineLevel="1">
      <c r="A1" s="28"/>
      <c r="B1" s="109"/>
      <c r="C1" s="106"/>
      <c r="D1" s="106"/>
      <c r="E1" s="110"/>
      <c r="F1" s="106"/>
      <c r="G1" s="106"/>
      <c r="H1" s="106"/>
      <c r="I1" s="106"/>
      <c r="J1" s="2"/>
      <c r="K1" s="2"/>
      <c r="L1" s="2"/>
      <c r="M1" s="2"/>
      <c r="N1" s="111"/>
      <c r="O1" s="124"/>
      <c r="P1" s="124"/>
    </row>
    <row r="2" spans="1:18" ht="15.75" customHeight="1" outlineLevel="1">
      <c r="A2" s="29" t="s">
        <v>0</v>
      </c>
      <c r="B2" s="29" t="s">
        <v>1</v>
      </c>
      <c r="C2" s="30"/>
      <c r="D2" s="31" t="s">
        <v>2</v>
      </c>
      <c r="E2" s="112" t="s">
        <v>3</v>
      </c>
      <c r="F2" s="115" t="s">
        <v>4</v>
      </c>
      <c r="G2" s="116"/>
      <c r="H2" s="19" t="s">
        <v>5</v>
      </c>
      <c r="I2" s="20"/>
      <c r="J2" s="117"/>
      <c r="K2" s="125"/>
      <c r="L2" s="126"/>
      <c r="M2" s="118" t="s">
        <v>6</v>
      </c>
      <c r="N2" s="119" t="s">
        <v>7</v>
      </c>
      <c r="O2" s="120"/>
      <c r="P2" s="126"/>
      <c r="Q2" s="127" t="s">
        <v>8</v>
      </c>
      <c r="R2" s="128" t="s">
        <v>9</v>
      </c>
    </row>
    <row r="3" spans="1:18" ht="15.75" customHeight="1" outlineLevel="1">
      <c r="A3" s="29" t="s">
        <v>10</v>
      </c>
      <c r="B3" s="29"/>
      <c r="C3" s="108"/>
      <c r="D3" s="121"/>
      <c r="E3" s="113"/>
      <c r="F3" s="103" t="s">
        <v>280</v>
      </c>
      <c r="G3" s="104"/>
      <c r="H3" s="19" t="s">
        <v>13</v>
      </c>
      <c r="I3" s="20"/>
      <c r="J3" s="129"/>
      <c r="K3" s="128"/>
      <c r="L3" s="130"/>
      <c r="M3" s="131"/>
      <c r="N3" s="131"/>
      <c r="O3" s="129"/>
      <c r="P3" s="130"/>
      <c r="Q3" s="127"/>
      <c r="R3" s="128"/>
    </row>
    <row r="4" spans="1:18" ht="15.75" customHeight="1" outlineLevel="1">
      <c r="A4" s="29" t="s">
        <v>14</v>
      </c>
      <c r="B4" s="29"/>
      <c r="C4" s="108"/>
      <c r="D4" s="113"/>
      <c r="E4" s="113"/>
      <c r="F4" s="115" t="s">
        <v>15</v>
      </c>
      <c r="G4" s="116"/>
      <c r="H4" s="19" t="s">
        <v>16</v>
      </c>
      <c r="I4" s="20"/>
      <c r="J4" s="129"/>
      <c r="K4" s="128"/>
      <c r="L4" s="130"/>
      <c r="M4" s="131"/>
      <c r="N4" s="131"/>
      <c r="O4" s="129"/>
      <c r="P4" s="130"/>
      <c r="Q4" s="127"/>
      <c r="R4" s="128"/>
    </row>
    <row r="5" spans="1:18" ht="15.75" customHeight="1" outlineLevel="1">
      <c r="A5" s="29" t="s">
        <v>17</v>
      </c>
      <c r="B5" s="29"/>
      <c r="C5" s="108"/>
      <c r="D5" s="114"/>
      <c r="E5" s="113"/>
      <c r="F5" s="103" t="s">
        <v>281</v>
      </c>
      <c r="G5" s="104"/>
      <c r="H5" s="19" t="s">
        <v>19</v>
      </c>
      <c r="I5" s="20"/>
      <c r="J5" s="129"/>
      <c r="K5" s="128"/>
      <c r="L5" s="130"/>
      <c r="M5" s="131"/>
      <c r="N5" s="131"/>
      <c r="O5" s="129"/>
      <c r="P5" s="130"/>
      <c r="Q5" s="132"/>
      <c r="R5" s="133"/>
    </row>
    <row r="6" spans="1:18" ht="15.75" customHeight="1" outlineLevel="1">
      <c r="A6" s="21"/>
      <c r="B6" s="21"/>
      <c r="C6" s="32" t="e" vm="1">
        <v>#VALUE!</v>
      </c>
      <c r="D6" s="21"/>
      <c r="E6" s="114"/>
      <c r="F6" s="108"/>
      <c r="G6" s="108"/>
      <c r="H6" s="108"/>
      <c r="I6" s="108"/>
      <c r="J6" s="134"/>
      <c r="K6" s="135"/>
      <c r="L6" s="136"/>
      <c r="M6" s="137"/>
      <c r="N6" s="137"/>
      <c r="O6" s="134"/>
      <c r="P6" s="136"/>
      <c r="Q6" s="10" t="s">
        <v>20</v>
      </c>
      <c r="R6" s="10" t="s">
        <v>20</v>
      </c>
    </row>
    <row r="7" spans="1:18" ht="15.75" customHeight="1">
      <c r="A7" s="33" t="s">
        <v>21</v>
      </c>
      <c r="B7" s="98" t="s">
        <v>21</v>
      </c>
      <c r="C7" s="99"/>
      <c r="D7" s="99"/>
      <c r="E7" s="100" t="s">
        <v>22</v>
      </c>
      <c r="F7" s="99"/>
      <c r="G7" s="99"/>
      <c r="H7" s="99"/>
      <c r="I7" s="101"/>
      <c r="J7" s="138"/>
      <c r="K7" s="138"/>
      <c r="L7" s="139"/>
      <c r="M7" s="53" t="s">
        <v>23</v>
      </c>
      <c r="N7" s="102" t="s">
        <v>24</v>
      </c>
      <c r="O7" s="138"/>
      <c r="P7" s="139"/>
      <c r="Q7" s="62"/>
      <c r="R7" s="11"/>
    </row>
    <row r="8" spans="1:18" ht="15.75" customHeight="1">
      <c r="A8" s="34" t="s">
        <v>26</v>
      </c>
      <c r="B8" s="34" t="s">
        <v>27</v>
      </c>
      <c r="C8" s="34" t="s">
        <v>28</v>
      </c>
      <c r="D8" s="35" t="s">
        <v>29</v>
      </c>
      <c r="E8" s="94" t="s">
        <v>30</v>
      </c>
      <c r="F8" s="101"/>
      <c r="G8" s="17" t="s">
        <v>31</v>
      </c>
      <c r="H8" s="22" t="s">
        <v>32</v>
      </c>
      <c r="I8" s="23" t="s">
        <v>33</v>
      </c>
      <c r="J8" s="50"/>
      <c r="K8" s="12" t="s">
        <v>31</v>
      </c>
      <c r="L8" s="12" t="s">
        <v>26</v>
      </c>
      <c r="M8" s="52" t="s">
        <v>34</v>
      </c>
      <c r="N8" s="140" t="s">
        <v>35</v>
      </c>
      <c r="O8" s="139"/>
      <c r="P8" s="13" t="s">
        <v>36</v>
      </c>
      <c r="Q8" s="14" t="str">
        <f>"("</f>
        <v>(</v>
      </c>
      <c r="R8" s="14" t="str">
        <f>"("</f>
        <v>(</v>
      </c>
    </row>
    <row r="9" spans="1:18" ht="15.75" customHeight="1" outlineLevel="1">
      <c r="A9" s="70" t="s">
        <v>282</v>
      </c>
      <c r="B9" s="70" t="s">
        <v>50</v>
      </c>
      <c r="C9" s="36"/>
      <c r="D9" s="16" t="s">
        <v>246</v>
      </c>
      <c r="E9" s="122" t="s">
        <v>281</v>
      </c>
      <c r="F9" s="123"/>
      <c r="G9" s="17" t="s">
        <v>283</v>
      </c>
      <c r="H9" s="61" t="s">
        <v>282</v>
      </c>
      <c r="I9" s="23"/>
      <c r="J9" s="41"/>
      <c r="K9" s="12"/>
      <c r="L9" s="12"/>
      <c r="M9" s="49"/>
      <c r="N9" s="140"/>
      <c r="O9" s="141"/>
      <c r="P9" s="13"/>
      <c r="Q9" s="14"/>
      <c r="R9" s="14"/>
    </row>
    <row r="10" spans="1:18" ht="15.75" customHeight="1" outlineLevel="1">
      <c r="A10" s="70" t="s">
        <v>284</v>
      </c>
      <c r="B10" s="70" t="s">
        <v>72</v>
      </c>
      <c r="C10" s="36"/>
      <c r="D10" s="86" t="s">
        <v>285</v>
      </c>
      <c r="E10" s="122" t="s">
        <v>281</v>
      </c>
      <c r="F10" s="123"/>
      <c r="G10" s="17" t="s">
        <v>283</v>
      </c>
      <c r="H10" s="23" t="s">
        <v>284</v>
      </c>
      <c r="I10" s="23"/>
      <c r="J10" s="41"/>
      <c r="K10" s="12"/>
      <c r="L10" s="12"/>
      <c r="M10" s="49"/>
      <c r="N10" s="42"/>
      <c r="O10" s="43"/>
      <c r="P10" s="13"/>
      <c r="Q10" s="14"/>
      <c r="R10" s="14"/>
    </row>
    <row r="11" spans="1:18" ht="15.75" customHeight="1" outlineLevel="1">
      <c r="A11" s="70" t="s">
        <v>286</v>
      </c>
      <c r="B11" s="70" t="s">
        <v>38</v>
      </c>
      <c r="C11" s="36"/>
      <c r="D11" s="16" t="s">
        <v>287</v>
      </c>
      <c r="E11" s="122" t="s">
        <v>281</v>
      </c>
      <c r="F11" s="123"/>
      <c r="G11" s="17" t="s">
        <v>283</v>
      </c>
      <c r="H11" s="61" t="s">
        <v>286</v>
      </c>
      <c r="I11" s="23"/>
      <c r="J11" s="41"/>
      <c r="K11" s="12"/>
      <c r="L11" s="12"/>
      <c r="M11" s="49"/>
      <c r="N11" s="140"/>
      <c r="O11" s="141"/>
      <c r="P11" s="13"/>
      <c r="Q11" s="14"/>
      <c r="R11" s="14"/>
    </row>
    <row r="12" spans="1:18" ht="15.75" customHeight="1" outlineLevel="1">
      <c r="A12" s="70" t="s">
        <v>247</v>
      </c>
      <c r="B12" s="70" t="s">
        <v>38</v>
      </c>
      <c r="C12" s="36"/>
      <c r="D12" s="16" t="s">
        <v>288</v>
      </c>
      <c r="E12" s="122" t="s">
        <v>281</v>
      </c>
      <c r="F12" s="123"/>
      <c r="G12" s="17" t="s">
        <v>283</v>
      </c>
      <c r="H12" s="61" t="s">
        <v>247</v>
      </c>
      <c r="I12" s="23"/>
      <c r="J12" s="41"/>
      <c r="K12" s="12"/>
      <c r="L12" s="12"/>
      <c r="M12" s="49"/>
      <c r="N12" s="42"/>
      <c r="O12" s="43"/>
      <c r="P12" s="13"/>
      <c r="Q12" s="14"/>
      <c r="R12" s="14"/>
    </row>
    <row r="13" spans="1:18" ht="15.75" customHeight="1" outlineLevel="1">
      <c r="A13" s="70" t="s">
        <v>289</v>
      </c>
      <c r="B13" s="70" t="s">
        <v>38</v>
      </c>
      <c r="C13" s="36"/>
      <c r="D13" s="16" t="s">
        <v>290</v>
      </c>
      <c r="E13" s="122" t="s">
        <v>281</v>
      </c>
      <c r="F13" s="123"/>
      <c r="G13" s="17" t="s">
        <v>283</v>
      </c>
      <c r="H13" s="61" t="s">
        <v>289</v>
      </c>
      <c r="I13" s="23"/>
      <c r="J13" s="41"/>
      <c r="K13" s="12"/>
      <c r="L13" s="12"/>
      <c r="M13" s="49"/>
      <c r="N13" s="42"/>
      <c r="O13" s="43"/>
      <c r="P13" s="13"/>
      <c r="Q13" s="14"/>
      <c r="R13" s="14"/>
    </row>
    <row r="14" spans="1:18" ht="15.75" customHeight="1" outlineLevel="1">
      <c r="A14" s="70" t="s">
        <v>291</v>
      </c>
      <c r="B14" s="70" t="s">
        <v>72</v>
      </c>
      <c r="C14" s="36"/>
      <c r="D14" s="16" t="s">
        <v>292</v>
      </c>
      <c r="E14" s="122" t="s">
        <v>281</v>
      </c>
      <c r="F14" s="123"/>
      <c r="G14" s="17" t="s">
        <v>283</v>
      </c>
      <c r="H14" s="61" t="s">
        <v>291</v>
      </c>
      <c r="I14" s="23"/>
      <c r="J14" s="41"/>
      <c r="K14" s="12"/>
      <c r="L14" s="12"/>
      <c r="M14" s="49"/>
      <c r="N14" s="42"/>
      <c r="O14" s="43"/>
      <c r="P14" s="13"/>
      <c r="Q14" s="14"/>
      <c r="R14" s="14"/>
    </row>
    <row r="15" spans="1:18" ht="15.75" customHeight="1" outlineLevel="1">
      <c r="A15" s="66"/>
      <c r="B15" s="34"/>
      <c r="C15" s="36"/>
      <c r="D15" s="16"/>
      <c r="E15" s="94"/>
      <c r="F15" s="95"/>
      <c r="G15" s="17"/>
      <c r="H15" s="23"/>
      <c r="I15" s="23"/>
      <c r="J15" s="41"/>
      <c r="K15" s="12"/>
      <c r="L15" s="12"/>
      <c r="M15" s="49"/>
      <c r="N15" s="42"/>
      <c r="O15" s="43"/>
      <c r="P15" s="13"/>
      <c r="Q15" s="14"/>
      <c r="R15" s="14"/>
    </row>
    <row r="16" spans="1:18" ht="15.75" customHeight="1" outlineLevel="1">
      <c r="A16" s="56"/>
      <c r="B16" s="58"/>
      <c r="C16" s="59"/>
      <c r="D16" s="80"/>
      <c r="E16" s="46"/>
      <c r="F16" s="47"/>
      <c r="G16" s="17"/>
      <c r="H16" s="61"/>
      <c r="I16" s="23"/>
      <c r="J16" s="41"/>
      <c r="K16" s="12"/>
      <c r="L16" s="12"/>
      <c r="M16" s="49"/>
      <c r="N16" s="42"/>
      <c r="O16" s="43"/>
      <c r="P16" s="13"/>
      <c r="Q16" s="14"/>
      <c r="R16" s="14"/>
    </row>
    <row r="17" spans="1:18" ht="15.75" customHeight="1" outlineLevel="1">
      <c r="A17" s="37"/>
      <c r="B17" s="34"/>
      <c r="C17" s="36"/>
      <c r="D17" s="34"/>
      <c r="E17" s="94"/>
      <c r="F17" s="95"/>
      <c r="G17" s="17"/>
      <c r="H17" s="22"/>
      <c r="I17" s="23"/>
      <c r="J17" s="41"/>
      <c r="K17" s="12"/>
      <c r="L17" s="12"/>
      <c r="M17" s="45"/>
      <c r="N17" s="140"/>
      <c r="O17" s="141"/>
      <c r="P17" s="13"/>
      <c r="Q17" s="14"/>
      <c r="R17" s="14"/>
    </row>
    <row r="18" spans="1:18" ht="15.75" customHeight="1" outlineLevel="1">
      <c r="A18" s="38" t="s">
        <v>109</v>
      </c>
      <c r="B18" s="39"/>
      <c r="C18" s="40"/>
      <c r="D18" s="9"/>
      <c r="E18" s="94"/>
      <c r="F18" s="95"/>
      <c r="G18" s="17"/>
      <c r="H18" s="25"/>
      <c r="I18" s="24"/>
      <c r="J18" s="51"/>
      <c r="K18" s="3"/>
      <c r="L18" s="3"/>
      <c r="M18" s="49"/>
      <c r="N18" s="142"/>
      <c r="O18" s="143"/>
      <c r="P18" s="4"/>
      <c r="Q18" s="14"/>
      <c r="R18" s="14"/>
    </row>
    <row r="19" spans="1:18" ht="15.75" customHeight="1">
      <c r="E19" s="107"/>
      <c r="F19" s="108"/>
      <c r="G19" s="105"/>
      <c r="H19" s="106"/>
      <c r="I19" s="26"/>
      <c r="N19" s="124"/>
      <c r="O19" s="124"/>
    </row>
    <row r="20" spans="1:18" ht="15.75" customHeight="1"/>
    <row r="21" spans="1:18" ht="15.75" customHeight="1"/>
    <row r="22" spans="1:18" ht="15.75" customHeight="1"/>
    <row r="23" spans="1:18" ht="15.75" customHeight="1"/>
    <row r="24" spans="1:18" ht="15.75" customHeight="1"/>
    <row r="25" spans="1:18" ht="15.75" customHeight="1"/>
    <row r="26" spans="1:18" ht="15.75" customHeight="1"/>
    <row r="27" spans="1:18" ht="15.75" customHeight="1"/>
    <row r="28" spans="1:18" ht="15.75" customHeight="1"/>
    <row r="29" spans="1:18" ht="15.75" customHeight="1"/>
    <row r="30" spans="1:18" ht="15.75" customHeight="1"/>
    <row r="31" spans="1:18" ht="15.75" customHeight="1"/>
    <row r="32" spans="1:18" s="18" customFormat="1" ht="15.75" customHeight="1">
      <c r="E32" s="21"/>
      <c r="F32" s="44"/>
      <c r="G32" s="27"/>
      <c r="J32"/>
      <c r="K32"/>
      <c r="L32"/>
      <c r="M32"/>
      <c r="N32"/>
      <c r="O32"/>
      <c r="P32"/>
      <c r="Q32"/>
      <c r="R32"/>
    </row>
    <row r="33" spans="5:18" s="18" customFormat="1" ht="15.75" customHeight="1">
      <c r="E33" s="21"/>
      <c r="F33" s="44"/>
      <c r="G33" s="27"/>
      <c r="J33"/>
      <c r="K33"/>
      <c r="L33"/>
      <c r="M33"/>
      <c r="N33"/>
      <c r="O33"/>
      <c r="P33"/>
      <c r="Q33"/>
      <c r="R33"/>
    </row>
    <row r="34" spans="5:18" s="18" customFormat="1" ht="15.75" customHeight="1">
      <c r="E34" s="21"/>
      <c r="F34" s="44"/>
      <c r="G34" s="27"/>
      <c r="J34"/>
      <c r="K34"/>
      <c r="L34"/>
      <c r="M34"/>
      <c r="N34"/>
      <c r="O34"/>
      <c r="P34"/>
      <c r="Q34"/>
      <c r="R34"/>
    </row>
    <row r="35" spans="5:18" s="18" customFormat="1" ht="15.75" customHeight="1">
      <c r="E35" s="21"/>
      <c r="F35" s="44"/>
      <c r="G35" s="27"/>
      <c r="J35"/>
      <c r="K35"/>
      <c r="L35"/>
      <c r="M35"/>
      <c r="N35"/>
      <c r="O35"/>
      <c r="P35"/>
      <c r="Q35"/>
      <c r="R35"/>
    </row>
    <row r="36" spans="5:18" s="18" customFormat="1" ht="15.75" customHeight="1">
      <c r="E36" s="21"/>
      <c r="F36" s="44"/>
      <c r="G36" s="27"/>
      <c r="J36"/>
      <c r="K36"/>
      <c r="L36"/>
      <c r="M36"/>
      <c r="N36"/>
      <c r="O36"/>
      <c r="P36"/>
      <c r="Q36"/>
      <c r="R36"/>
    </row>
    <row r="37" spans="5:18" s="18" customFormat="1" ht="15.75" customHeight="1">
      <c r="E37" s="21"/>
      <c r="F37" s="44"/>
      <c r="G37" s="27"/>
      <c r="J37"/>
      <c r="K37"/>
      <c r="L37"/>
      <c r="M37"/>
      <c r="N37"/>
      <c r="O37"/>
      <c r="P37"/>
      <c r="Q37"/>
      <c r="R37"/>
    </row>
    <row r="38" spans="5:18" s="18" customFormat="1" ht="15.75" customHeight="1">
      <c r="E38" s="21"/>
      <c r="F38" s="44"/>
      <c r="G38" s="27"/>
      <c r="J38"/>
      <c r="K38"/>
      <c r="L38"/>
      <c r="M38"/>
      <c r="N38"/>
      <c r="O38"/>
      <c r="P38"/>
      <c r="Q38"/>
      <c r="R38"/>
    </row>
    <row r="39" spans="5:18" s="18" customFormat="1" ht="15.75" customHeight="1">
      <c r="E39" s="21"/>
      <c r="F39" s="44"/>
      <c r="G39" s="27"/>
      <c r="J39"/>
      <c r="K39"/>
      <c r="L39"/>
      <c r="M39"/>
      <c r="N39"/>
      <c r="O39"/>
      <c r="P39"/>
      <c r="Q39"/>
      <c r="R39"/>
    </row>
    <row r="40" spans="5:18" s="18" customFormat="1" ht="15.75" customHeight="1">
      <c r="E40" s="21"/>
      <c r="F40" s="44"/>
      <c r="G40" s="27"/>
      <c r="J40"/>
      <c r="K40"/>
      <c r="L40"/>
      <c r="M40"/>
      <c r="N40"/>
      <c r="O40"/>
      <c r="P40"/>
      <c r="Q40"/>
      <c r="R40"/>
    </row>
    <row r="41" spans="5:18" s="18" customFormat="1" ht="15.75" customHeight="1">
      <c r="E41" s="21"/>
      <c r="F41" s="44"/>
      <c r="G41" s="27"/>
      <c r="J41"/>
      <c r="K41"/>
      <c r="L41"/>
      <c r="M41"/>
      <c r="N41"/>
      <c r="O41"/>
      <c r="P41"/>
      <c r="Q41"/>
      <c r="R41"/>
    </row>
    <row r="42" spans="5:18" s="18" customFormat="1" ht="15.75" customHeight="1">
      <c r="E42" s="21"/>
      <c r="F42" s="44"/>
      <c r="G42" s="27"/>
      <c r="J42"/>
      <c r="K42"/>
      <c r="L42"/>
      <c r="M42"/>
      <c r="N42"/>
      <c r="O42"/>
      <c r="P42"/>
      <c r="Q42"/>
      <c r="R42"/>
    </row>
    <row r="43" spans="5:18" s="18" customFormat="1" ht="15.75" customHeight="1">
      <c r="E43" s="21"/>
      <c r="F43" s="44"/>
      <c r="G43" s="27"/>
      <c r="J43"/>
      <c r="K43"/>
      <c r="L43"/>
      <c r="M43"/>
      <c r="N43"/>
      <c r="O43"/>
      <c r="P43"/>
      <c r="Q43"/>
      <c r="R43"/>
    </row>
    <row r="44" spans="5:18" s="18" customFormat="1" ht="15.75" customHeight="1">
      <c r="E44" s="21"/>
      <c r="F44" s="44"/>
      <c r="G44" s="27"/>
      <c r="J44"/>
      <c r="K44"/>
      <c r="L44"/>
      <c r="M44"/>
      <c r="N44"/>
      <c r="O44"/>
      <c r="P44"/>
      <c r="Q44"/>
      <c r="R44"/>
    </row>
    <row r="45" spans="5:18" s="18" customFormat="1" ht="15.75" customHeight="1">
      <c r="E45" s="21"/>
      <c r="F45" s="44"/>
      <c r="G45" s="27"/>
      <c r="J45"/>
      <c r="K45"/>
      <c r="L45"/>
      <c r="M45"/>
      <c r="N45"/>
      <c r="O45"/>
      <c r="P45"/>
      <c r="Q45"/>
      <c r="R45"/>
    </row>
    <row r="46" spans="5:18" s="18" customFormat="1" ht="15.75" customHeight="1">
      <c r="E46" s="21"/>
      <c r="F46" s="44"/>
      <c r="G46" s="27"/>
      <c r="J46"/>
      <c r="K46"/>
      <c r="L46"/>
      <c r="M46"/>
      <c r="N46"/>
      <c r="O46"/>
      <c r="P46"/>
      <c r="Q46"/>
      <c r="R46"/>
    </row>
    <row r="47" spans="5:18" s="18" customFormat="1" ht="15.75" customHeight="1">
      <c r="E47" s="21"/>
      <c r="F47" s="44"/>
      <c r="G47" s="27"/>
      <c r="J47"/>
      <c r="K47"/>
      <c r="L47"/>
      <c r="M47"/>
      <c r="N47"/>
      <c r="O47"/>
      <c r="P47"/>
      <c r="Q47"/>
      <c r="R47"/>
    </row>
    <row r="48" spans="5:18" s="18" customFormat="1" ht="15.75" customHeight="1">
      <c r="E48" s="21"/>
      <c r="F48" s="44"/>
      <c r="G48" s="27"/>
      <c r="J48"/>
      <c r="K48"/>
      <c r="L48"/>
      <c r="M48"/>
      <c r="N48"/>
      <c r="O48"/>
      <c r="P48"/>
      <c r="Q48"/>
      <c r="R48"/>
    </row>
    <row r="49" spans="5:18" s="18" customFormat="1" ht="15.75" customHeight="1">
      <c r="E49" s="21"/>
      <c r="F49" s="44"/>
      <c r="G49" s="27"/>
      <c r="J49"/>
      <c r="K49"/>
      <c r="L49"/>
      <c r="M49"/>
      <c r="N49"/>
      <c r="O49"/>
      <c r="P49"/>
      <c r="Q49"/>
      <c r="R49"/>
    </row>
    <row r="50" spans="5:18" s="18" customFormat="1" ht="15.75" customHeight="1">
      <c r="E50" s="21"/>
      <c r="F50" s="44"/>
      <c r="G50" s="27"/>
      <c r="J50"/>
      <c r="K50"/>
      <c r="L50"/>
      <c r="M50"/>
      <c r="N50"/>
      <c r="O50"/>
      <c r="P50"/>
      <c r="Q50"/>
      <c r="R50"/>
    </row>
    <row r="51" spans="5:18" s="18" customFormat="1" ht="15.75" customHeight="1">
      <c r="E51" s="21"/>
      <c r="F51" s="44"/>
      <c r="G51" s="27"/>
      <c r="J51"/>
      <c r="K51"/>
      <c r="L51"/>
      <c r="M51"/>
      <c r="N51"/>
      <c r="O51"/>
      <c r="P51"/>
      <c r="Q51"/>
      <c r="R51"/>
    </row>
    <row r="52" spans="5:18" s="18" customFormat="1" ht="15.75" customHeight="1">
      <c r="E52" s="21"/>
      <c r="F52" s="44"/>
      <c r="G52" s="27"/>
      <c r="J52"/>
      <c r="K52"/>
      <c r="L52"/>
      <c r="M52"/>
      <c r="N52"/>
      <c r="O52"/>
      <c r="P52"/>
      <c r="Q52"/>
      <c r="R52"/>
    </row>
    <row r="53" spans="5:18" s="18" customFormat="1" ht="15.75" customHeight="1">
      <c r="E53" s="21"/>
      <c r="F53" s="44"/>
      <c r="G53" s="27"/>
      <c r="J53"/>
      <c r="K53"/>
      <c r="L53"/>
      <c r="M53"/>
      <c r="N53"/>
      <c r="O53"/>
      <c r="P53"/>
      <c r="Q53"/>
      <c r="R53"/>
    </row>
    <row r="54" spans="5:18" s="18" customFormat="1" ht="15.75" customHeight="1">
      <c r="E54" s="21"/>
      <c r="F54" s="44"/>
      <c r="G54" s="27"/>
      <c r="J54"/>
      <c r="K54"/>
      <c r="L54"/>
      <c r="M54"/>
      <c r="N54"/>
      <c r="O54"/>
      <c r="P54"/>
      <c r="Q54"/>
      <c r="R54"/>
    </row>
    <row r="55" spans="5:18" s="18" customFormat="1" ht="15.75" customHeight="1">
      <c r="E55" s="21"/>
      <c r="F55" s="44"/>
      <c r="G55" s="27"/>
      <c r="J55"/>
      <c r="K55"/>
      <c r="L55"/>
      <c r="M55"/>
      <c r="N55"/>
      <c r="O55"/>
      <c r="P55"/>
      <c r="Q55"/>
      <c r="R55"/>
    </row>
    <row r="56" spans="5:18" s="18" customFormat="1" ht="15.75" customHeight="1">
      <c r="E56" s="21"/>
      <c r="F56" s="44"/>
      <c r="G56" s="27"/>
      <c r="J56"/>
      <c r="K56"/>
      <c r="L56"/>
      <c r="M56"/>
      <c r="N56"/>
      <c r="O56"/>
      <c r="P56"/>
      <c r="Q56"/>
      <c r="R56"/>
    </row>
    <row r="57" spans="5:18" s="18" customFormat="1" ht="15.75" customHeight="1">
      <c r="E57" s="21"/>
      <c r="F57" s="44"/>
      <c r="G57" s="27"/>
      <c r="J57"/>
      <c r="K57"/>
      <c r="L57"/>
      <c r="M57"/>
      <c r="N57"/>
      <c r="O57"/>
      <c r="P57"/>
      <c r="Q57"/>
      <c r="R57"/>
    </row>
    <row r="58" spans="5:18" s="18" customFormat="1" ht="15.75" customHeight="1">
      <c r="E58" s="21"/>
      <c r="F58" s="44"/>
      <c r="G58" s="27"/>
      <c r="J58"/>
      <c r="K58"/>
      <c r="L58"/>
      <c r="M58"/>
      <c r="N58"/>
      <c r="O58"/>
      <c r="P58"/>
      <c r="Q58"/>
      <c r="R58"/>
    </row>
    <row r="59" spans="5:18" s="18" customFormat="1" ht="15.75" customHeight="1">
      <c r="E59" s="21"/>
      <c r="F59" s="44"/>
      <c r="G59" s="27"/>
      <c r="J59"/>
      <c r="K59"/>
      <c r="L59"/>
      <c r="M59"/>
      <c r="N59"/>
      <c r="O59"/>
      <c r="P59"/>
      <c r="Q59"/>
      <c r="R59"/>
    </row>
    <row r="60" spans="5:18" s="18" customFormat="1" ht="15.75" customHeight="1">
      <c r="E60" s="21"/>
      <c r="F60" s="44"/>
      <c r="G60" s="27"/>
      <c r="J60"/>
      <c r="K60"/>
      <c r="L60"/>
      <c r="M60"/>
      <c r="N60"/>
      <c r="O60"/>
      <c r="P60"/>
      <c r="Q60"/>
      <c r="R60"/>
    </row>
    <row r="61" spans="5:18" s="18" customFormat="1" ht="15.75" customHeight="1">
      <c r="E61" s="21"/>
      <c r="F61" s="44"/>
      <c r="G61" s="27"/>
      <c r="J61"/>
      <c r="K61"/>
      <c r="L61"/>
      <c r="M61"/>
      <c r="N61"/>
      <c r="O61"/>
      <c r="P61"/>
      <c r="Q61"/>
      <c r="R61"/>
    </row>
    <row r="62" spans="5:18" s="18" customFormat="1" ht="15.75" customHeight="1">
      <c r="E62" s="21"/>
      <c r="F62" s="44"/>
      <c r="G62" s="27"/>
      <c r="J62"/>
      <c r="K62"/>
      <c r="L62"/>
      <c r="M62"/>
      <c r="N62"/>
      <c r="O62"/>
      <c r="P62"/>
      <c r="Q62"/>
      <c r="R62"/>
    </row>
    <row r="63" spans="5:18" s="18" customFormat="1" ht="15.75" customHeight="1">
      <c r="E63" s="21"/>
      <c r="F63" s="44"/>
      <c r="G63" s="27"/>
      <c r="J63"/>
      <c r="K63"/>
      <c r="L63"/>
      <c r="M63"/>
      <c r="N63"/>
      <c r="O63"/>
      <c r="P63"/>
      <c r="Q63"/>
      <c r="R63"/>
    </row>
    <row r="64" spans="5:18" s="18" customFormat="1" ht="15.75" customHeight="1">
      <c r="E64" s="21"/>
      <c r="F64" s="44"/>
      <c r="G64" s="27"/>
      <c r="J64"/>
      <c r="K64"/>
      <c r="L64"/>
      <c r="M64"/>
      <c r="N64"/>
      <c r="O64"/>
      <c r="P64"/>
      <c r="Q64"/>
      <c r="R64"/>
    </row>
    <row r="65" spans="5:18" s="18" customFormat="1" ht="15.75" customHeight="1">
      <c r="E65" s="21"/>
      <c r="F65" s="44"/>
      <c r="G65" s="27"/>
      <c r="J65"/>
      <c r="K65"/>
      <c r="L65"/>
      <c r="M65"/>
      <c r="N65"/>
      <c r="O65"/>
      <c r="P65"/>
      <c r="Q65"/>
      <c r="R65"/>
    </row>
    <row r="66" spans="5:18" s="18" customFormat="1" ht="15.75" customHeight="1">
      <c r="E66" s="21"/>
      <c r="F66" s="44"/>
      <c r="G66" s="27"/>
      <c r="J66"/>
      <c r="K66"/>
      <c r="L66"/>
      <c r="M66"/>
      <c r="N66"/>
      <c r="O66"/>
      <c r="P66"/>
      <c r="Q66"/>
      <c r="R66"/>
    </row>
    <row r="67" spans="5:18" s="18" customFormat="1" ht="15.75" customHeight="1">
      <c r="E67" s="21"/>
      <c r="F67" s="44"/>
      <c r="G67" s="27"/>
      <c r="J67"/>
      <c r="K67"/>
      <c r="L67"/>
      <c r="M67"/>
      <c r="N67"/>
      <c r="O67"/>
      <c r="P67"/>
      <c r="Q67"/>
      <c r="R67"/>
    </row>
    <row r="68" spans="5:18" s="18" customFormat="1" ht="15.75" customHeight="1">
      <c r="E68" s="21"/>
      <c r="F68" s="44"/>
      <c r="G68" s="27"/>
      <c r="J68"/>
      <c r="K68"/>
      <c r="L68"/>
      <c r="M68"/>
      <c r="N68"/>
      <c r="O68"/>
      <c r="P68"/>
      <c r="Q68"/>
      <c r="R68"/>
    </row>
    <row r="69" spans="5:18" s="18" customFormat="1" ht="15.75" customHeight="1">
      <c r="E69" s="21"/>
      <c r="F69" s="44"/>
      <c r="G69" s="27"/>
      <c r="J69"/>
      <c r="K69"/>
      <c r="L69"/>
      <c r="M69"/>
      <c r="N69"/>
      <c r="O69"/>
      <c r="P69"/>
      <c r="Q69"/>
      <c r="R69"/>
    </row>
    <row r="70" spans="5:18" s="18" customFormat="1" ht="15.75" customHeight="1">
      <c r="E70" s="21"/>
      <c r="F70" s="44"/>
      <c r="G70" s="27"/>
      <c r="J70"/>
      <c r="K70"/>
      <c r="L70"/>
      <c r="M70"/>
      <c r="N70"/>
      <c r="O70"/>
      <c r="P70"/>
      <c r="Q70"/>
      <c r="R70"/>
    </row>
    <row r="71" spans="5:18" s="18" customFormat="1" ht="15.75" customHeight="1">
      <c r="E71" s="21"/>
      <c r="F71" s="44"/>
      <c r="G71" s="27"/>
      <c r="J71"/>
      <c r="K71"/>
      <c r="L71"/>
      <c r="M71"/>
      <c r="N71"/>
      <c r="O71"/>
      <c r="P71"/>
      <c r="Q71"/>
      <c r="R71"/>
    </row>
    <row r="72" spans="5:18" s="18" customFormat="1" ht="15.75" customHeight="1">
      <c r="E72" s="21"/>
      <c r="F72" s="44"/>
      <c r="G72" s="27"/>
      <c r="J72"/>
      <c r="K72"/>
      <c r="L72"/>
      <c r="M72"/>
      <c r="N72"/>
      <c r="O72"/>
      <c r="P72"/>
      <c r="Q72"/>
      <c r="R72"/>
    </row>
    <row r="73" spans="5:18" s="18" customFormat="1" ht="15.75" customHeight="1">
      <c r="E73" s="21"/>
      <c r="F73" s="44"/>
      <c r="G73" s="27"/>
      <c r="J73"/>
      <c r="K73"/>
      <c r="L73"/>
      <c r="M73"/>
      <c r="N73"/>
      <c r="O73"/>
      <c r="P73"/>
      <c r="Q73"/>
      <c r="R73"/>
    </row>
    <row r="74" spans="5:18" s="18" customFormat="1" ht="15.75" customHeight="1">
      <c r="E74" s="21"/>
      <c r="F74" s="44"/>
      <c r="G74" s="27"/>
      <c r="J74"/>
      <c r="K74"/>
      <c r="L74"/>
      <c r="M74"/>
      <c r="N74"/>
      <c r="O74"/>
      <c r="P74"/>
      <c r="Q74"/>
      <c r="R74"/>
    </row>
    <row r="75" spans="5:18" s="18" customFormat="1" ht="15.75" customHeight="1">
      <c r="E75" s="21"/>
      <c r="F75" s="44"/>
      <c r="G75" s="27"/>
      <c r="J75"/>
      <c r="K75"/>
      <c r="L75"/>
      <c r="M75"/>
      <c r="N75"/>
      <c r="O75"/>
      <c r="P75"/>
      <c r="Q75"/>
      <c r="R75"/>
    </row>
    <row r="76" spans="5:18" s="18" customFormat="1" ht="15.75" customHeight="1">
      <c r="E76" s="21"/>
      <c r="F76" s="44"/>
      <c r="G76" s="27"/>
      <c r="J76"/>
      <c r="K76"/>
      <c r="L76"/>
      <c r="M76"/>
      <c r="N76"/>
      <c r="O76"/>
      <c r="P76"/>
      <c r="Q76"/>
      <c r="R76"/>
    </row>
    <row r="77" spans="5:18" s="18" customFormat="1" ht="15.75" customHeight="1">
      <c r="E77" s="21"/>
      <c r="F77" s="44"/>
      <c r="G77" s="27"/>
      <c r="J77"/>
      <c r="K77"/>
      <c r="L77"/>
      <c r="M77"/>
      <c r="N77"/>
      <c r="O77"/>
      <c r="P77"/>
      <c r="Q77"/>
      <c r="R77"/>
    </row>
    <row r="78" spans="5:18" s="18" customFormat="1" ht="15.75" customHeight="1">
      <c r="E78" s="21"/>
      <c r="F78" s="44"/>
      <c r="G78" s="27"/>
      <c r="J78"/>
      <c r="K78"/>
      <c r="L78"/>
      <c r="M78"/>
      <c r="N78"/>
      <c r="O78"/>
      <c r="P78"/>
      <c r="Q78"/>
      <c r="R78"/>
    </row>
    <row r="79" spans="5:18" s="18" customFormat="1" ht="15.75" customHeight="1">
      <c r="E79" s="21"/>
      <c r="F79" s="44"/>
      <c r="G79" s="27"/>
      <c r="J79"/>
      <c r="K79"/>
      <c r="L79"/>
      <c r="M79"/>
      <c r="N79"/>
      <c r="O79"/>
      <c r="P79"/>
      <c r="Q79"/>
      <c r="R79"/>
    </row>
    <row r="80" spans="5:18" s="18" customFormat="1" ht="15.75" customHeight="1">
      <c r="E80" s="21"/>
      <c r="F80" s="44"/>
      <c r="G80" s="27"/>
      <c r="J80"/>
      <c r="K80"/>
      <c r="L80"/>
      <c r="M80"/>
      <c r="N80"/>
      <c r="O80"/>
      <c r="P80"/>
      <c r="Q80"/>
      <c r="R80"/>
    </row>
    <row r="81" spans="5:18" s="18" customFormat="1" ht="15.75" customHeight="1">
      <c r="E81" s="21"/>
      <c r="F81" s="44"/>
      <c r="G81" s="27"/>
      <c r="J81"/>
      <c r="K81"/>
      <c r="L81"/>
      <c r="M81"/>
      <c r="N81"/>
      <c r="O81"/>
      <c r="P81"/>
      <c r="Q81"/>
      <c r="R81"/>
    </row>
    <row r="82" spans="5:18" s="18" customFormat="1" ht="15.75" customHeight="1">
      <c r="E82" s="21"/>
      <c r="F82" s="44"/>
      <c r="G82" s="27"/>
      <c r="J82"/>
      <c r="K82"/>
      <c r="L82"/>
      <c r="M82"/>
      <c r="N82"/>
      <c r="O82"/>
      <c r="P82"/>
      <c r="Q82"/>
      <c r="R82"/>
    </row>
    <row r="83" spans="5:18" s="18" customFormat="1" ht="15.75" customHeight="1">
      <c r="E83" s="21"/>
      <c r="F83" s="44"/>
      <c r="G83" s="27"/>
      <c r="J83"/>
      <c r="K83"/>
      <c r="L83"/>
      <c r="M83"/>
      <c r="N83"/>
      <c r="O83"/>
      <c r="P83"/>
      <c r="Q83"/>
      <c r="R83"/>
    </row>
    <row r="84" spans="5:18" s="18" customFormat="1" ht="15.75" customHeight="1">
      <c r="E84" s="21"/>
      <c r="F84" s="44"/>
      <c r="G84" s="27"/>
      <c r="J84"/>
      <c r="K84"/>
      <c r="L84"/>
      <c r="M84"/>
      <c r="N84"/>
      <c r="O84"/>
      <c r="P84"/>
      <c r="Q84"/>
      <c r="R84"/>
    </row>
    <row r="85" spans="5:18" s="18" customFormat="1" ht="15.75" customHeight="1">
      <c r="E85" s="21"/>
      <c r="F85" s="44"/>
      <c r="G85" s="27"/>
      <c r="J85"/>
      <c r="K85"/>
      <c r="L85"/>
      <c r="M85"/>
      <c r="N85"/>
      <c r="O85"/>
      <c r="P85"/>
      <c r="Q85"/>
      <c r="R85"/>
    </row>
    <row r="86" spans="5:18" s="18" customFormat="1" ht="15.75" customHeight="1">
      <c r="E86" s="21"/>
      <c r="F86" s="44"/>
      <c r="G86" s="27"/>
      <c r="J86"/>
      <c r="K86"/>
      <c r="L86"/>
      <c r="M86"/>
      <c r="N86"/>
      <c r="O86"/>
      <c r="P86"/>
      <c r="Q86"/>
      <c r="R86"/>
    </row>
    <row r="87" spans="5:18" s="18" customFormat="1" ht="15.75" customHeight="1">
      <c r="E87" s="21"/>
      <c r="F87" s="44"/>
      <c r="G87" s="27"/>
      <c r="J87"/>
      <c r="K87"/>
      <c r="L87"/>
      <c r="M87"/>
      <c r="N87"/>
      <c r="O87"/>
      <c r="P87"/>
      <c r="Q87"/>
      <c r="R87"/>
    </row>
    <row r="88" spans="5:18" s="18" customFormat="1" ht="15.75" customHeight="1">
      <c r="E88" s="21"/>
      <c r="F88" s="44"/>
      <c r="G88" s="27"/>
      <c r="J88"/>
      <c r="K88"/>
      <c r="L88"/>
      <c r="M88"/>
      <c r="N88"/>
      <c r="O88"/>
      <c r="P88"/>
      <c r="Q88"/>
      <c r="R88"/>
    </row>
    <row r="89" spans="5:18" s="18" customFormat="1" ht="15.75" customHeight="1">
      <c r="E89" s="21"/>
      <c r="F89" s="44"/>
      <c r="G89" s="27"/>
      <c r="J89"/>
      <c r="K89"/>
      <c r="L89"/>
      <c r="M89"/>
      <c r="N89"/>
      <c r="O89"/>
      <c r="P89"/>
      <c r="Q89"/>
      <c r="R89"/>
    </row>
    <row r="90" spans="5:18" s="18" customFormat="1" ht="15.75" customHeight="1">
      <c r="E90" s="21"/>
      <c r="F90" s="44"/>
      <c r="G90" s="27"/>
      <c r="J90"/>
      <c r="K90"/>
      <c r="L90"/>
      <c r="M90"/>
      <c r="N90"/>
      <c r="O90"/>
      <c r="P90"/>
      <c r="Q90"/>
      <c r="R90"/>
    </row>
    <row r="91" spans="5:18" s="18" customFormat="1" ht="15.75" customHeight="1">
      <c r="E91" s="21"/>
      <c r="F91" s="44"/>
      <c r="G91" s="27"/>
      <c r="J91"/>
      <c r="K91"/>
      <c r="L91"/>
      <c r="M91"/>
      <c r="N91"/>
      <c r="O91"/>
      <c r="P91"/>
      <c r="Q91"/>
      <c r="R91"/>
    </row>
    <row r="92" spans="5:18" s="18" customFormat="1" ht="15.75" customHeight="1">
      <c r="E92" s="21"/>
      <c r="F92" s="44"/>
      <c r="G92" s="27"/>
      <c r="J92"/>
      <c r="K92"/>
      <c r="L92"/>
      <c r="M92"/>
      <c r="N92"/>
      <c r="O92"/>
      <c r="P92"/>
      <c r="Q92"/>
      <c r="R92"/>
    </row>
    <row r="93" spans="5:18" s="18" customFormat="1" ht="15.75" customHeight="1">
      <c r="E93" s="21"/>
      <c r="F93" s="44"/>
      <c r="G93" s="27"/>
      <c r="J93"/>
      <c r="K93"/>
      <c r="L93"/>
      <c r="M93"/>
      <c r="N93"/>
      <c r="O93"/>
      <c r="P93"/>
      <c r="Q93"/>
      <c r="R93"/>
    </row>
    <row r="94" spans="5:18" s="18" customFormat="1" ht="15.75" customHeight="1">
      <c r="E94" s="21"/>
      <c r="F94" s="44"/>
      <c r="G94" s="27"/>
      <c r="J94"/>
      <c r="K94"/>
      <c r="L94"/>
      <c r="M94"/>
      <c r="N94"/>
      <c r="O94"/>
      <c r="P94"/>
      <c r="Q94"/>
      <c r="R94"/>
    </row>
    <row r="95" spans="5:18" s="18" customFormat="1" ht="15.75" customHeight="1">
      <c r="E95" s="21"/>
      <c r="F95" s="44"/>
      <c r="G95" s="27"/>
      <c r="J95"/>
      <c r="K95"/>
      <c r="L95"/>
      <c r="M95"/>
      <c r="N95"/>
      <c r="O95"/>
      <c r="P95"/>
      <c r="Q95"/>
      <c r="R95"/>
    </row>
    <row r="96" spans="5:18" s="18" customFormat="1" ht="15.75" customHeight="1">
      <c r="E96" s="21"/>
      <c r="F96" s="44"/>
      <c r="G96" s="27"/>
      <c r="J96"/>
      <c r="K96"/>
      <c r="L96"/>
      <c r="M96"/>
      <c r="N96"/>
      <c r="O96"/>
      <c r="P96"/>
      <c r="Q96"/>
      <c r="R96"/>
    </row>
    <row r="97" spans="5:18" s="18" customFormat="1" ht="15.75" customHeight="1">
      <c r="E97" s="21"/>
      <c r="F97" s="44"/>
      <c r="G97" s="27"/>
      <c r="J97"/>
      <c r="K97"/>
      <c r="L97"/>
      <c r="M97"/>
      <c r="N97"/>
      <c r="O97"/>
      <c r="P97"/>
      <c r="Q97"/>
      <c r="R97"/>
    </row>
    <row r="98" spans="5:18" s="18" customFormat="1" ht="15.75" customHeight="1">
      <c r="E98" s="21"/>
      <c r="F98" s="44"/>
      <c r="G98" s="27"/>
      <c r="J98"/>
      <c r="K98"/>
      <c r="L98"/>
      <c r="M98"/>
      <c r="N98"/>
      <c r="O98"/>
      <c r="P98"/>
      <c r="Q98"/>
      <c r="R98"/>
    </row>
    <row r="99" spans="5:18" s="18" customFormat="1" ht="15.75" customHeight="1">
      <c r="E99" s="21"/>
      <c r="F99" s="44"/>
      <c r="G99" s="27"/>
      <c r="J99"/>
      <c r="K99"/>
      <c r="L99"/>
      <c r="M99"/>
      <c r="N99"/>
      <c r="O99"/>
      <c r="P99"/>
      <c r="Q99"/>
      <c r="R99"/>
    </row>
    <row r="100" spans="5:18" s="18" customFormat="1" ht="15.75" customHeight="1">
      <c r="E100" s="21"/>
      <c r="F100" s="44"/>
      <c r="G100" s="27"/>
      <c r="J100"/>
      <c r="K100"/>
      <c r="L100"/>
      <c r="M100"/>
      <c r="N100"/>
      <c r="O100"/>
      <c r="P100"/>
      <c r="Q100"/>
      <c r="R100"/>
    </row>
    <row r="101" spans="5:18" s="18" customFormat="1" ht="15.75" customHeight="1">
      <c r="E101" s="21"/>
      <c r="F101" s="44"/>
      <c r="G101" s="27"/>
      <c r="J101"/>
      <c r="K101"/>
      <c r="L101"/>
      <c r="M101"/>
      <c r="N101"/>
      <c r="O101"/>
      <c r="P101"/>
      <c r="Q101"/>
      <c r="R101"/>
    </row>
    <row r="102" spans="5:18" s="18" customFormat="1" ht="15.75" customHeight="1">
      <c r="E102" s="21"/>
      <c r="F102" s="44"/>
      <c r="G102" s="27"/>
      <c r="J102"/>
      <c r="K102"/>
      <c r="L102"/>
      <c r="M102"/>
      <c r="N102"/>
      <c r="O102"/>
      <c r="P102"/>
      <c r="Q102"/>
      <c r="R102"/>
    </row>
    <row r="103" spans="5:18" s="18" customFormat="1" ht="15.75" customHeight="1">
      <c r="E103" s="21"/>
      <c r="F103" s="44"/>
      <c r="G103" s="27"/>
      <c r="J103"/>
      <c r="K103"/>
      <c r="L103"/>
      <c r="M103"/>
      <c r="N103"/>
      <c r="O103"/>
      <c r="P103"/>
      <c r="Q103"/>
      <c r="R103"/>
    </row>
    <row r="104" spans="5:18" s="18" customFormat="1" ht="15.75" customHeight="1">
      <c r="E104" s="21"/>
      <c r="F104" s="44"/>
      <c r="G104" s="27"/>
      <c r="J104"/>
      <c r="K104"/>
      <c r="L104"/>
      <c r="M104"/>
      <c r="N104"/>
      <c r="O104"/>
      <c r="P104"/>
      <c r="Q104"/>
      <c r="R104"/>
    </row>
    <row r="105" spans="5:18" s="18" customFormat="1" ht="15.75" customHeight="1">
      <c r="E105" s="21"/>
      <c r="F105" s="44"/>
      <c r="G105" s="27"/>
      <c r="J105"/>
      <c r="K105"/>
      <c r="L105"/>
      <c r="M105"/>
      <c r="N105"/>
      <c r="O105"/>
      <c r="P105"/>
      <c r="Q105"/>
      <c r="R105"/>
    </row>
    <row r="106" spans="5:18" s="18" customFormat="1" ht="15.75" customHeight="1">
      <c r="E106" s="21"/>
      <c r="F106" s="44"/>
      <c r="G106" s="27"/>
      <c r="J106"/>
      <c r="K106"/>
      <c r="L106"/>
      <c r="M106"/>
      <c r="N106"/>
      <c r="O106"/>
      <c r="P106"/>
      <c r="Q106"/>
      <c r="R106"/>
    </row>
    <row r="107" spans="5:18" s="18" customFormat="1" ht="15.75" customHeight="1">
      <c r="E107" s="21"/>
      <c r="F107" s="44"/>
      <c r="G107" s="27"/>
      <c r="J107"/>
      <c r="K107"/>
      <c r="L107"/>
      <c r="M107"/>
      <c r="N107"/>
      <c r="O107"/>
      <c r="P107"/>
      <c r="Q107"/>
      <c r="R107"/>
    </row>
    <row r="108" spans="5:18" s="18" customFormat="1" ht="15.75" customHeight="1">
      <c r="E108" s="21"/>
      <c r="F108" s="44"/>
      <c r="G108" s="27"/>
      <c r="J108"/>
      <c r="K108"/>
      <c r="L108"/>
      <c r="M108"/>
      <c r="N108"/>
      <c r="O108"/>
      <c r="P108"/>
      <c r="Q108"/>
      <c r="R108"/>
    </row>
    <row r="109" spans="5:18" s="18" customFormat="1" ht="15.75" customHeight="1">
      <c r="E109" s="21"/>
      <c r="F109" s="44"/>
      <c r="G109" s="27"/>
      <c r="J109"/>
      <c r="K109"/>
      <c r="L109"/>
      <c r="M109"/>
      <c r="N109"/>
      <c r="O109"/>
      <c r="P109"/>
      <c r="Q109"/>
      <c r="R109"/>
    </row>
    <row r="110" spans="5:18" s="18" customFormat="1" ht="15.75" customHeight="1">
      <c r="E110" s="21"/>
      <c r="F110" s="44"/>
      <c r="G110" s="27"/>
      <c r="J110"/>
      <c r="K110"/>
      <c r="L110"/>
      <c r="M110"/>
      <c r="N110"/>
      <c r="O110"/>
      <c r="P110"/>
      <c r="Q110"/>
      <c r="R110"/>
    </row>
    <row r="111" spans="5:18" s="18" customFormat="1" ht="15.75" customHeight="1">
      <c r="E111" s="21"/>
      <c r="F111" s="44"/>
      <c r="G111" s="27"/>
      <c r="J111"/>
      <c r="K111"/>
      <c r="L111"/>
      <c r="M111"/>
      <c r="N111"/>
      <c r="O111"/>
      <c r="P111"/>
      <c r="Q111"/>
      <c r="R111"/>
    </row>
    <row r="112" spans="5:18" s="18" customFormat="1" ht="15.75" customHeight="1">
      <c r="E112" s="21"/>
      <c r="F112" s="44"/>
      <c r="G112" s="27"/>
      <c r="J112"/>
      <c r="K112"/>
      <c r="L112"/>
      <c r="M112"/>
      <c r="N112"/>
      <c r="O112"/>
      <c r="P112"/>
      <c r="Q112"/>
      <c r="R112"/>
    </row>
    <row r="113" spans="5:18" s="18" customFormat="1" ht="15.75" customHeight="1">
      <c r="E113" s="21"/>
      <c r="F113" s="44"/>
      <c r="G113" s="27"/>
      <c r="J113"/>
      <c r="K113"/>
      <c r="L113"/>
      <c r="M113"/>
      <c r="N113"/>
      <c r="O113"/>
      <c r="P113"/>
      <c r="Q113"/>
      <c r="R113"/>
    </row>
    <row r="114" spans="5:18" s="18" customFormat="1" ht="15.75" customHeight="1">
      <c r="E114" s="21"/>
      <c r="F114" s="44"/>
      <c r="G114" s="27"/>
      <c r="J114"/>
      <c r="K114"/>
      <c r="L114"/>
      <c r="M114"/>
      <c r="N114"/>
      <c r="O114"/>
      <c r="P114"/>
      <c r="Q114"/>
      <c r="R114"/>
    </row>
    <row r="115" spans="5:18" s="18" customFormat="1" ht="15.75" customHeight="1">
      <c r="E115" s="21"/>
      <c r="F115" s="44"/>
      <c r="G115" s="27"/>
      <c r="J115"/>
      <c r="K115"/>
      <c r="L115"/>
      <c r="M115"/>
      <c r="N115"/>
      <c r="O115"/>
      <c r="P115"/>
      <c r="Q115"/>
      <c r="R115"/>
    </row>
    <row r="116" spans="5:18" s="18" customFormat="1" ht="15.75" customHeight="1">
      <c r="E116" s="21"/>
      <c r="F116" s="44"/>
      <c r="G116" s="27"/>
      <c r="J116"/>
      <c r="K116"/>
      <c r="L116"/>
      <c r="M116"/>
      <c r="N116"/>
      <c r="O116"/>
      <c r="P116"/>
      <c r="Q116"/>
      <c r="R116"/>
    </row>
    <row r="117" spans="5:18" s="18" customFormat="1" ht="15.75" customHeight="1">
      <c r="E117" s="21"/>
      <c r="F117" s="44"/>
      <c r="G117" s="27"/>
      <c r="J117"/>
      <c r="K117"/>
      <c r="L117"/>
      <c r="M117"/>
      <c r="N117"/>
      <c r="O117"/>
      <c r="P117"/>
      <c r="Q117"/>
      <c r="R117"/>
    </row>
    <row r="118" spans="5:18" s="18" customFormat="1" ht="15.75" customHeight="1">
      <c r="E118" s="21"/>
      <c r="F118" s="44"/>
      <c r="G118" s="27"/>
      <c r="J118"/>
      <c r="K118"/>
      <c r="L118"/>
      <c r="M118"/>
      <c r="N118"/>
      <c r="O118"/>
      <c r="P118"/>
      <c r="Q118"/>
      <c r="R118"/>
    </row>
    <row r="119" spans="5:18" s="18" customFormat="1" ht="15.75" customHeight="1">
      <c r="E119" s="21"/>
      <c r="F119" s="44"/>
      <c r="G119" s="27"/>
      <c r="J119"/>
      <c r="K119"/>
      <c r="L119"/>
      <c r="M119"/>
      <c r="N119"/>
      <c r="O119"/>
      <c r="P119"/>
      <c r="Q119"/>
      <c r="R119"/>
    </row>
    <row r="120" spans="5:18" s="18" customFormat="1" ht="15.75" customHeight="1">
      <c r="E120" s="21"/>
      <c r="F120" s="44"/>
      <c r="G120" s="27"/>
      <c r="J120"/>
      <c r="K120"/>
      <c r="L120"/>
      <c r="M120"/>
      <c r="N120"/>
      <c r="O120"/>
      <c r="P120"/>
      <c r="Q120"/>
      <c r="R120"/>
    </row>
    <row r="121" spans="5:18" s="18" customFormat="1" ht="15.75" customHeight="1">
      <c r="E121" s="21"/>
      <c r="F121" s="44"/>
      <c r="G121" s="27"/>
      <c r="J121"/>
      <c r="K121"/>
      <c r="L121"/>
      <c r="M121"/>
      <c r="N121"/>
      <c r="O121"/>
      <c r="P121"/>
      <c r="Q121"/>
      <c r="R121"/>
    </row>
    <row r="122" spans="5:18" s="18" customFormat="1" ht="15.75" customHeight="1">
      <c r="E122" s="21"/>
      <c r="F122" s="44"/>
      <c r="G122" s="27"/>
      <c r="J122"/>
      <c r="K122"/>
      <c r="L122"/>
      <c r="M122"/>
      <c r="N122"/>
      <c r="O122"/>
      <c r="P122"/>
      <c r="Q122"/>
      <c r="R122"/>
    </row>
    <row r="123" spans="5:18" s="18" customFormat="1" ht="15.75" customHeight="1">
      <c r="E123" s="21"/>
      <c r="F123" s="44"/>
      <c r="G123" s="27"/>
      <c r="J123"/>
      <c r="K123"/>
      <c r="L123"/>
      <c r="M123"/>
      <c r="N123"/>
      <c r="O123"/>
      <c r="P123"/>
      <c r="Q123"/>
      <c r="R123"/>
    </row>
    <row r="124" spans="5:18" s="18" customFormat="1" ht="15.75" customHeight="1">
      <c r="E124" s="21"/>
      <c r="F124" s="44"/>
      <c r="G124" s="27"/>
      <c r="J124"/>
      <c r="K124"/>
      <c r="L124"/>
      <c r="M124"/>
      <c r="N124"/>
      <c r="O124"/>
      <c r="P124"/>
      <c r="Q124"/>
      <c r="R124"/>
    </row>
    <row r="125" spans="5:18" s="18" customFormat="1" ht="15.75" customHeight="1">
      <c r="E125" s="21"/>
      <c r="F125" s="44"/>
      <c r="G125" s="27"/>
      <c r="J125"/>
      <c r="K125"/>
      <c r="L125"/>
      <c r="M125"/>
      <c r="N125"/>
      <c r="O125"/>
      <c r="P125"/>
      <c r="Q125"/>
      <c r="R125"/>
    </row>
    <row r="126" spans="5:18" s="18" customFormat="1" ht="15.75" customHeight="1">
      <c r="E126" s="21"/>
      <c r="F126" s="44"/>
      <c r="G126" s="27"/>
      <c r="J126"/>
      <c r="K126"/>
      <c r="L126"/>
      <c r="M126"/>
      <c r="N126"/>
      <c r="O126"/>
      <c r="P126"/>
      <c r="Q126"/>
      <c r="R126"/>
    </row>
    <row r="127" spans="5:18" s="18" customFormat="1" ht="15.75" customHeight="1">
      <c r="E127" s="21"/>
      <c r="F127" s="44"/>
      <c r="G127" s="27"/>
      <c r="J127"/>
      <c r="K127"/>
      <c r="L127"/>
      <c r="M127"/>
      <c r="N127"/>
      <c r="O127"/>
      <c r="P127"/>
      <c r="Q127"/>
      <c r="R127"/>
    </row>
    <row r="128" spans="5:18" s="18" customFormat="1" ht="15.75" customHeight="1">
      <c r="E128" s="21"/>
      <c r="F128" s="44"/>
      <c r="G128" s="27"/>
      <c r="J128"/>
      <c r="K128"/>
      <c r="L128"/>
      <c r="M128"/>
      <c r="N128"/>
      <c r="O128"/>
      <c r="P128"/>
      <c r="Q128"/>
      <c r="R128"/>
    </row>
    <row r="129" spans="5:18" s="18" customFormat="1" ht="15.75" customHeight="1">
      <c r="E129" s="21"/>
      <c r="F129" s="44"/>
      <c r="G129" s="27"/>
      <c r="J129"/>
      <c r="K129"/>
      <c r="L129"/>
      <c r="M129"/>
      <c r="N129"/>
      <c r="O129"/>
      <c r="P129"/>
      <c r="Q129"/>
      <c r="R129"/>
    </row>
    <row r="130" spans="5:18" s="18" customFormat="1" ht="15.75" customHeight="1">
      <c r="E130" s="21"/>
      <c r="F130" s="44"/>
      <c r="G130" s="27"/>
      <c r="J130"/>
      <c r="K130"/>
      <c r="L130"/>
      <c r="M130"/>
      <c r="N130"/>
      <c r="O130"/>
      <c r="P130"/>
      <c r="Q130"/>
      <c r="R130"/>
    </row>
    <row r="131" spans="5:18" s="18" customFormat="1" ht="15.75" customHeight="1">
      <c r="E131" s="21"/>
      <c r="F131" s="44"/>
      <c r="G131" s="27"/>
      <c r="J131"/>
      <c r="K131"/>
      <c r="L131"/>
      <c r="M131"/>
      <c r="N131"/>
      <c r="O131"/>
      <c r="P131"/>
      <c r="Q131"/>
      <c r="R131"/>
    </row>
    <row r="132" spans="5:18" s="18" customFormat="1" ht="15.75" customHeight="1">
      <c r="E132" s="21"/>
      <c r="F132" s="44"/>
      <c r="G132" s="27"/>
      <c r="J132"/>
      <c r="K132"/>
      <c r="L132"/>
      <c r="M132"/>
      <c r="N132"/>
      <c r="O132"/>
      <c r="P132"/>
      <c r="Q132"/>
      <c r="R132"/>
    </row>
    <row r="133" spans="5:18" s="18" customFormat="1" ht="15.75" customHeight="1">
      <c r="E133" s="21"/>
      <c r="F133" s="44"/>
      <c r="G133" s="27"/>
      <c r="J133"/>
      <c r="K133"/>
      <c r="L133"/>
      <c r="M133"/>
      <c r="N133"/>
      <c r="O133"/>
      <c r="P133"/>
      <c r="Q133"/>
      <c r="R133"/>
    </row>
    <row r="134" spans="5:18" s="18" customFormat="1" ht="15.75" customHeight="1">
      <c r="E134" s="21"/>
      <c r="F134" s="44"/>
      <c r="G134" s="27"/>
      <c r="J134"/>
      <c r="K134"/>
      <c r="L134"/>
      <c r="M134"/>
      <c r="N134"/>
      <c r="O134"/>
      <c r="P134"/>
      <c r="Q134"/>
      <c r="R134"/>
    </row>
    <row r="135" spans="5:18" s="18" customFormat="1" ht="15.75" customHeight="1">
      <c r="E135" s="21"/>
      <c r="F135" s="44"/>
      <c r="G135" s="27"/>
      <c r="J135"/>
      <c r="K135"/>
      <c r="L135"/>
      <c r="M135"/>
      <c r="N135"/>
      <c r="O135"/>
      <c r="P135"/>
      <c r="Q135"/>
      <c r="R135"/>
    </row>
    <row r="136" spans="5:18" s="18" customFormat="1" ht="15.75" customHeight="1">
      <c r="E136" s="21"/>
      <c r="F136" s="44"/>
      <c r="G136" s="27"/>
      <c r="J136"/>
      <c r="K136"/>
      <c r="L136"/>
      <c r="M136"/>
      <c r="N136"/>
      <c r="O136"/>
      <c r="P136"/>
      <c r="Q136"/>
      <c r="R136"/>
    </row>
    <row r="137" spans="5:18" s="18" customFormat="1" ht="15.75" customHeight="1">
      <c r="E137" s="21"/>
      <c r="F137" s="44"/>
      <c r="G137" s="27"/>
      <c r="J137"/>
      <c r="K137"/>
      <c r="L137"/>
      <c r="M137"/>
      <c r="N137"/>
      <c r="O137"/>
      <c r="P137"/>
      <c r="Q137"/>
      <c r="R137"/>
    </row>
    <row r="138" spans="5:18" s="18" customFormat="1" ht="15.75" customHeight="1">
      <c r="E138" s="21"/>
      <c r="F138" s="44"/>
      <c r="G138" s="27"/>
      <c r="J138"/>
      <c r="K138"/>
      <c r="L138"/>
      <c r="M138"/>
      <c r="N138"/>
      <c r="O138"/>
      <c r="P138"/>
      <c r="Q138"/>
      <c r="R138"/>
    </row>
    <row r="139" spans="5:18" s="18" customFormat="1" ht="15.75" customHeight="1">
      <c r="E139" s="21"/>
      <c r="F139" s="44"/>
      <c r="G139" s="27"/>
      <c r="J139"/>
      <c r="K139"/>
      <c r="L139"/>
      <c r="M139"/>
      <c r="N139"/>
      <c r="O139"/>
      <c r="P139"/>
      <c r="Q139"/>
      <c r="R139"/>
    </row>
    <row r="140" spans="5:18" s="18" customFormat="1" ht="15.75" customHeight="1">
      <c r="E140" s="21"/>
      <c r="F140" s="44"/>
      <c r="G140" s="27"/>
      <c r="J140"/>
      <c r="K140"/>
      <c r="L140"/>
      <c r="M140"/>
      <c r="N140"/>
      <c r="O140"/>
      <c r="P140"/>
      <c r="Q140"/>
      <c r="R140"/>
    </row>
    <row r="141" spans="5:18" s="18" customFormat="1" ht="15.75" customHeight="1">
      <c r="E141" s="21"/>
      <c r="F141" s="44"/>
      <c r="G141" s="27"/>
      <c r="J141"/>
      <c r="K141"/>
      <c r="L141"/>
      <c r="M141"/>
      <c r="N141"/>
      <c r="O141"/>
      <c r="P141"/>
      <c r="Q141"/>
      <c r="R141"/>
    </row>
    <row r="142" spans="5:18" s="18" customFormat="1" ht="15.75" customHeight="1">
      <c r="E142" s="21"/>
      <c r="F142" s="44"/>
      <c r="G142" s="27"/>
      <c r="J142"/>
      <c r="K142"/>
      <c r="L142"/>
      <c r="M142"/>
      <c r="N142"/>
      <c r="O142"/>
      <c r="P142"/>
      <c r="Q142"/>
      <c r="R142"/>
    </row>
    <row r="143" spans="5:18" s="18" customFormat="1" ht="15.75" customHeight="1">
      <c r="E143" s="21"/>
      <c r="F143" s="44"/>
      <c r="G143" s="27"/>
      <c r="J143"/>
      <c r="K143"/>
      <c r="L143"/>
      <c r="M143"/>
      <c r="N143"/>
      <c r="O143"/>
      <c r="P143"/>
      <c r="Q143"/>
      <c r="R143"/>
    </row>
    <row r="144" spans="5:18" s="18" customFormat="1" ht="15.75" customHeight="1">
      <c r="E144" s="21"/>
      <c r="F144" s="44"/>
      <c r="G144" s="27"/>
      <c r="J144"/>
      <c r="K144"/>
      <c r="L144"/>
      <c r="M144"/>
      <c r="N144"/>
      <c r="O144"/>
      <c r="P144"/>
      <c r="Q144"/>
      <c r="R144"/>
    </row>
    <row r="145" spans="5:18" s="18" customFormat="1" ht="15.75" customHeight="1">
      <c r="E145" s="21"/>
      <c r="F145" s="44"/>
      <c r="G145" s="27"/>
      <c r="J145"/>
      <c r="K145"/>
      <c r="L145"/>
      <c r="M145"/>
      <c r="N145"/>
      <c r="O145"/>
      <c r="P145"/>
      <c r="Q145"/>
      <c r="R145"/>
    </row>
  </sheetData>
  <autoFilter ref="A8:P18" xr:uid="{00000000-0009-0000-0000-000000000000}"/>
  <mergeCells count="39">
    <mergeCell ref="E19:F19"/>
    <mergeCell ref="G19:H19"/>
    <mergeCell ref="N19:O19"/>
    <mergeCell ref="E11:F11"/>
    <mergeCell ref="N11:O11"/>
    <mergeCell ref="E12:F12"/>
    <mergeCell ref="E13:F13"/>
    <mergeCell ref="E14:F14"/>
    <mergeCell ref="E10:F10"/>
    <mergeCell ref="E15:F15"/>
    <mergeCell ref="E17:F17"/>
    <mergeCell ref="N17:O17"/>
    <mergeCell ref="E18:F18"/>
    <mergeCell ref="N18:O18"/>
    <mergeCell ref="E9:F9"/>
    <mergeCell ref="N9:O9"/>
    <mergeCell ref="B7:D7"/>
    <mergeCell ref="E7:I7"/>
    <mergeCell ref="J7:L7"/>
    <mergeCell ref="N7:P7"/>
    <mergeCell ref="E8:F8"/>
    <mergeCell ref="N8:O8"/>
    <mergeCell ref="Q2:Q5"/>
    <mergeCell ref="R2:R5"/>
    <mergeCell ref="C3:C5"/>
    <mergeCell ref="D3:D5"/>
    <mergeCell ref="F3:G3"/>
    <mergeCell ref="F4:G4"/>
    <mergeCell ref="F5:G5"/>
    <mergeCell ref="B1:D1"/>
    <mergeCell ref="E1:I1"/>
    <mergeCell ref="N1:P1"/>
    <mergeCell ref="E2:E6"/>
    <mergeCell ref="F2:G2"/>
    <mergeCell ref="J2:L6"/>
    <mergeCell ref="M2:M6"/>
    <mergeCell ref="N2:N6"/>
    <mergeCell ref="O2:P6"/>
    <mergeCell ref="F6:I6"/>
  </mergeCells>
  <conditionalFormatting sqref="A15">
    <cfRule type="expression" dxfId="61" priority="2">
      <formula>M15 = "On Hold"</formula>
    </cfRule>
  </conditionalFormatting>
  <conditionalFormatting sqref="A17:A18">
    <cfRule type="expression" dxfId="60" priority="6">
      <formula>M17 = "On Hold"</formula>
    </cfRule>
  </conditionalFormatting>
  <conditionalFormatting sqref="B2:B5 J9:P18">
    <cfRule type="cellIs" dxfId="59" priority="4" operator="equal">
      <formula>"Done"</formula>
    </cfRule>
    <cfRule type="cellIs" dxfId="58" priority="5" operator="equal">
      <formula>"On Hold"</formula>
    </cfRule>
    <cfRule type="cellIs" dxfId="57" priority="7" operator="equal">
      <formula>"Ready for Review"</formula>
    </cfRule>
    <cfRule type="cellIs" dxfId="56" priority="8" operator="equal">
      <formula>"In Review"</formula>
    </cfRule>
  </conditionalFormatting>
  <dataValidations count="7">
    <dataValidation type="list" allowBlank="1" sqref="E15:E18" xr:uid="{7BD91965-148B-419F-A430-CAFC757F81D2}">
      <formula1>Sources</formula1>
    </dataValidation>
    <dataValidation type="list" allowBlank="1" showErrorMessage="1" sqref="B2" xr:uid="{B2D512FD-F979-49E4-BA87-509E1B0BF88D}">
      <formula1>STT_Statuses</formula1>
    </dataValidation>
    <dataValidation type="list" allowBlank="1" sqref="B4:B5" xr:uid="{D49DE922-0C9B-40AB-9827-073A1D28F08E}">
      <formula1>ETL_Statuses</formula1>
    </dataValidation>
    <dataValidation type="list" allowBlank="1" sqref="B3 M9:M18" xr:uid="{A1DF3375-46EA-4812-8005-1D49C75D0A23}">
      <formula1>Statuses</formula1>
    </dataValidation>
    <dataValidation type="list" allowBlank="1" sqref="B17:B18 B10 B15" xr:uid="{787516EB-D03E-4106-9A13-3056EA9023DB}">
      <formula1>Data_Types</formula1>
    </dataValidation>
    <dataValidation type="list" allowBlank="1" sqref="N9:N18" xr:uid="{7BEA8BA5-379F-4D2F-9405-BD859D8C7DCA}">
      <formula1>Categories</formula1>
    </dataValidation>
    <dataValidation type="list" allowBlank="1" sqref="P9:P18" xr:uid="{44166256-F8CF-4D28-A3A1-38621FB07950}">
      <formula1>Versions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A9A57-6816-4B8B-971B-D28113FC3216}">
  <sheetPr>
    <tabColor theme="4" tint="0.59999389629810485"/>
    <outlinePr summaryBelow="0" summaryRight="0"/>
  </sheetPr>
  <dimension ref="A1:R145"/>
  <sheetViews>
    <sheetView zoomScale="110" zoomScaleNormal="110" workbookViewId="0">
      <pane xSplit="1" ySplit="8" topLeftCell="B9" activePane="bottomRight" state="frozen"/>
      <selection pane="bottomRight" activeCell="D15" sqref="D15"/>
      <selection pane="bottomLeft" activeCell="A9" sqref="A9"/>
      <selection pane="topRight" activeCell="B1" sqref="B1"/>
    </sheetView>
  </sheetViews>
  <sheetFormatPr defaultColWidth="12.7109375" defaultRowHeight="15" customHeight="1" outlineLevelRow="1" outlineLevelCol="1"/>
  <cols>
    <col min="1" max="1" width="27" style="18" customWidth="1"/>
    <col min="2" max="2" width="11.85546875" style="18" customWidth="1" outlineLevel="1"/>
    <col min="3" max="3" width="7" style="18" customWidth="1" outlineLevel="1"/>
    <col min="4" max="4" width="28" style="18" customWidth="1" outlineLevel="1"/>
    <col min="5" max="5" width="2.28515625" style="21" customWidth="1"/>
    <col min="6" max="6" width="12.7109375" style="44" customWidth="1" outlineLevel="1"/>
    <col min="7" max="7" width="43.7109375" style="27" customWidth="1" outlineLevel="1"/>
    <col min="8" max="8" width="30.7109375" style="18" customWidth="1" outlineLevel="1"/>
    <col min="9" max="9" width="33.140625" style="18" customWidth="1" outlineLevel="1"/>
    <col min="10" max="10" width="5.85546875" hidden="1" customWidth="1" outlineLevel="1"/>
    <col min="11" max="11" width="5" hidden="1" customWidth="1" outlineLevel="1"/>
    <col min="12" max="12" width="11.7109375" hidden="1" customWidth="1" outlineLevel="1"/>
    <col min="13" max="13" width="2.28515625" customWidth="1"/>
    <col min="14" max="14" width="2.28515625" customWidth="1" collapsed="1"/>
    <col min="15" max="15" width="10.7109375" hidden="1" customWidth="1" outlineLevel="1"/>
    <col min="16" max="16" width="11" hidden="1" customWidth="1" outlineLevel="1"/>
    <col min="17" max="18" width="47.7109375" customWidth="1"/>
  </cols>
  <sheetData>
    <row r="1" spans="1:18" ht="5.25" customHeight="1" outlineLevel="1">
      <c r="A1" s="28"/>
      <c r="B1" s="109"/>
      <c r="C1" s="106"/>
      <c r="D1" s="106"/>
      <c r="E1" s="110"/>
      <c r="F1" s="106"/>
      <c r="G1" s="106"/>
      <c r="H1" s="106"/>
      <c r="I1" s="106"/>
      <c r="J1" s="2"/>
      <c r="K1" s="2"/>
      <c r="L1" s="2"/>
      <c r="M1" s="2"/>
      <c r="N1" s="111"/>
      <c r="O1" s="124"/>
      <c r="P1" s="124"/>
    </row>
    <row r="2" spans="1:18" ht="15.75" customHeight="1" outlineLevel="1">
      <c r="A2" s="29" t="s">
        <v>0</v>
      </c>
      <c r="B2" s="29" t="s">
        <v>1</v>
      </c>
      <c r="C2" s="30"/>
      <c r="D2" s="31" t="s">
        <v>2</v>
      </c>
      <c r="E2" s="112" t="s">
        <v>3</v>
      </c>
      <c r="F2" s="115" t="s">
        <v>4</v>
      </c>
      <c r="G2" s="116"/>
      <c r="H2" s="19" t="s">
        <v>5</v>
      </c>
      <c r="I2" s="20"/>
      <c r="J2" s="117"/>
      <c r="K2" s="125"/>
      <c r="L2" s="126"/>
      <c r="M2" s="118" t="s">
        <v>6</v>
      </c>
      <c r="N2" s="119" t="s">
        <v>7</v>
      </c>
      <c r="O2" s="120"/>
      <c r="P2" s="126"/>
      <c r="Q2" s="127" t="s">
        <v>8</v>
      </c>
      <c r="R2" s="128" t="s">
        <v>9</v>
      </c>
    </row>
    <row r="3" spans="1:18" ht="15.75" customHeight="1" outlineLevel="1">
      <c r="A3" s="29" t="s">
        <v>10</v>
      </c>
      <c r="B3" s="29"/>
      <c r="C3" s="108"/>
      <c r="D3" s="121"/>
      <c r="E3" s="113"/>
      <c r="F3" s="103" t="s">
        <v>293</v>
      </c>
      <c r="G3" s="104"/>
      <c r="H3" s="19" t="s">
        <v>13</v>
      </c>
      <c r="I3" s="20"/>
      <c r="J3" s="129"/>
      <c r="K3" s="128"/>
      <c r="L3" s="130"/>
      <c r="M3" s="131"/>
      <c r="N3" s="131"/>
      <c r="O3" s="129"/>
      <c r="P3" s="130"/>
      <c r="Q3" s="127"/>
      <c r="R3" s="128"/>
    </row>
    <row r="4" spans="1:18" ht="15.75" customHeight="1" outlineLevel="1">
      <c r="A4" s="29" t="s">
        <v>14</v>
      </c>
      <c r="B4" s="29"/>
      <c r="C4" s="108"/>
      <c r="D4" s="113"/>
      <c r="E4" s="113"/>
      <c r="F4" s="115" t="s">
        <v>15</v>
      </c>
      <c r="G4" s="116"/>
      <c r="H4" s="19" t="s">
        <v>16</v>
      </c>
      <c r="I4" s="20"/>
      <c r="J4" s="129"/>
      <c r="K4" s="128"/>
      <c r="L4" s="130"/>
      <c r="M4" s="131"/>
      <c r="N4" s="131"/>
      <c r="O4" s="129"/>
      <c r="P4" s="130"/>
      <c r="Q4" s="127"/>
      <c r="R4" s="128"/>
    </row>
    <row r="5" spans="1:18" ht="15.75" customHeight="1" outlineLevel="1">
      <c r="A5" s="29" t="s">
        <v>17</v>
      </c>
      <c r="B5" s="29"/>
      <c r="C5" s="108"/>
      <c r="D5" s="114"/>
      <c r="E5" s="113"/>
      <c r="F5" s="103" t="s">
        <v>281</v>
      </c>
      <c r="G5" s="104"/>
      <c r="H5" s="19" t="s">
        <v>19</v>
      </c>
      <c r="I5" s="20"/>
      <c r="J5" s="129"/>
      <c r="K5" s="128"/>
      <c r="L5" s="130"/>
      <c r="M5" s="131"/>
      <c r="N5" s="131"/>
      <c r="O5" s="129"/>
      <c r="P5" s="130"/>
      <c r="Q5" s="132"/>
      <c r="R5" s="133"/>
    </row>
    <row r="6" spans="1:18" ht="15.75" customHeight="1" outlineLevel="1">
      <c r="A6" s="21"/>
      <c r="B6" s="21"/>
      <c r="C6" s="32" t="e" vm="1">
        <v>#VALUE!</v>
      </c>
      <c r="D6" s="21"/>
      <c r="E6" s="114"/>
      <c r="F6" s="108"/>
      <c r="G6" s="108"/>
      <c r="H6" s="108"/>
      <c r="I6" s="108"/>
      <c r="J6" s="134"/>
      <c r="K6" s="135"/>
      <c r="L6" s="136"/>
      <c r="M6" s="137"/>
      <c r="N6" s="137"/>
      <c r="O6" s="134"/>
      <c r="P6" s="136"/>
      <c r="Q6" s="10" t="s">
        <v>20</v>
      </c>
      <c r="R6" s="10" t="s">
        <v>20</v>
      </c>
    </row>
    <row r="7" spans="1:18" ht="15.75" customHeight="1">
      <c r="A7" s="33" t="s">
        <v>21</v>
      </c>
      <c r="B7" s="98" t="s">
        <v>21</v>
      </c>
      <c r="C7" s="99"/>
      <c r="D7" s="99"/>
      <c r="E7" s="100" t="s">
        <v>22</v>
      </c>
      <c r="F7" s="99"/>
      <c r="G7" s="99"/>
      <c r="H7" s="99"/>
      <c r="I7" s="101"/>
      <c r="J7" s="138"/>
      <c r="K7" s="138"/>
      <c r="L7" s="139"/>
      <c r="M7" s="53" t="s">
        <v>23</v>
      </c>
      <c r="N7" s="102" t="s">
        <v>24</v>
      </c>
      <c r="O7" s="138"/>
      <c r="P7" s="139"/>
      <c r="Q7" s="62"/>
      <c r="R7" s="11"/>
    </row>
    <row r="8" spans="1:18" ht="15.75" customHeight="1">
      <c r="A8" s="34" t="s">
        <v>26</v>
      </c>
      <c r="B8" s="34" t="s">
        <v>27</v>
      </c>
      <c r="C8" s="34" t="s">
        <v>28</v>
      </c>
      <c r="D8" s="35" t="s">
        <v>29</v>
      </c>
      <c r="E8" s="94" t="s">
        <v>30</v>
      </c>
      <c r="F8" s="101"/>
      <c r="G8" s="17" t="s">
        <v>31</v>
      </c>
      <c r="H8" s="22" t="s">
        <v>32</v>
      </c>
      <c r="I8" s="23" t="s">
        <v>33</v>
      </c>
      <c r="J8" s="50"/>
      <c r="K8" s="12" t="s">
        <v>31</v>
      </c>
      <c r="L8" s="12" t="s">
        <v>26</v>
      </c>
      <c r="M8" s="52" t="s">
        <v>34</v>
      </c>
      <c r="N8" s="140" t="s">
        <v>35</v>
      </c>
      <c r="O8" s="139"/>
      <c r="P8" s="13" t="s">
        <v>36</v>
      </c>
      <c r="Q8" s="14" t="str">
        <f>"("</f>
        <v>(</v>
      </c>
      <c r="R8" s="14" t="str">
        <f>"("</f>
        <v>(</v>
      </c>
    </row>
    <row r="9" spans="1:18" ht="15.75" customHeight="1" outlineLevel="1">
      <c r="A9" s="16" t="s">
        <v>294</v>
      </c>
      <c r="B9" s="16" t="s">
        <v>38</v>
      </c>
      <c r="C9" s="16"/>
      <c r="D9" s="16" t="s">
        <v>295</v>
      </c>
      <c r="E9" s="122" t="s">
        <v>40</v>
      </c>
      <c r="F9" s="123"/>
      <c r="G9" s="17" t="s">
        <v>296</v>
      </c>
      <c r="H9" s="17" t="s">
        <v>294</v>
      </c>
      <c r="I9" s="23"/>
      <c r="J9" s="41"/>
      <c r="K9" s="12"/>
      <c r="L9" s="12"/>
      <c r="M9" s="49"/>
      <c r="N9" s="140"/>
      <c r="O9" s="141"/>
      <c r="P9" s="13"/>
      <c r="Q9" s="14"/>
      <c r="R9" s="14"/>
    </row>
    <row r="10" spans="1:18" ht="15.75" customHeight="1" outlineLevel="1">
      <c r="A10" s="16" t="s">
        <v>297</v>
      </c>
      <c r="B10" s="16" t="s">
        <v>38</v>
      </c>
      <c r="C10" s="16"/>
      <c r="D10" s="16" t="s">
        <v>298</v>
      </c>
      <c r="E10" s="122" t="s">
        <v>40</v>
      </c>
      <c r="F10" s="123"/>
      <c r="G10" s="17" t="s">
        <v>296</v>
      </c>
      <c r="H10" s="17" t="s">
        <v>297</v>
      </c>
      <c r="I10" s="23"/>
      <c r="J10" s="41"/>
      <c r="K10" s="12"/>
      <c r="L10" s="12"/>
      <c r="M10" s="49"/>
      <c r="N10" s="42"/>
      <c r="O10" s="43"/>
      <c r="P10" s="13"/>
      <c r="Q10" s="14"/>
      <c r="R10" s="14"/>
    </row>
    <row r="11" spans="1:18" ht="15.75" customHeight="1" outlineLevel="1">
      <c r="A11" s="16" t="s">
        <v>97</v>
      </c>
      <c r="B11" s="16" t="s">
        <v>38</v>
      </c>
      <c r="C11" s="16"/>
      <c r="D11" s="16" t="s">
        <v>299</v>
      </c>
      <c r="E11" s="122" t="s">
        <v>40</v>
      </c>
      <c r="F11" s="123"/>
      <c r="G11" s="17" t="s">
        <v>296</v>
      </c>
      <c r="H11" s="17" t="s">
        <v>97</v>
      </c>
      <c r="I11" s="23"/>
      <c r="J11" s="41"/>
      <c r="K11" s="12"/>
      <c r="L11" s="12"/>
      <c r="M11" s="49"/>
      <c r="N11" s="140"/>
      <c r="O11" s="141"/>
      <c r="P11" s="13"/>
      <c r="Q11" s="14"/>
      <c r="R11" s="14"/>
    </row>
    <row r="12" spans="1:18" ht="15.75" customHeight="1" outlineLevel="1">
      <c r="A12" s="16" t="s">
        <v>300</v>
      </c>
      <c r="B12" s="16" t="s">
        <v>38</v>
      </c>
      <c r="C12" s="16"/>
      <c r="D12" s="16" t="s">
        <v>301</v>
      </c>
      <c r="E12" s="122" t="s">
        <v>40</v>
      </c>
      <c r="F12" s="123"/>
      <c r="G12" s="17" t="s">
        <v>296</v>
      </c>
      <c r="H12" s="17" t="s">
        <v>300</v>
      </c>
      <c r="I12" s="23"/>
      <c r="J12" s="41"/>
      <c r="K12" s="12"/>
      <c r="L12" s="12"/>
      <c r="M12" s="49"/>
      <c r="N12" s="42"/>
      <c r="O12" s="43"/>
      <c r="P12" s="13"/>
      <c r="Q12" s="14"/>
      <c r="R12" s="14"/>
    </row>
    <row r="13" spans="1:18" ht="15.75" customHeight="1" outlineLevel="1">
      <c r="A13" s="16" t="s">
        <v>302</v>
      </c>
      <c r="B13" s="16" t="s">
        <v>38</v>
      </c>
      <c r="C13" s="16"/>
      <c r="D13" s="16" t="s">
        <v>303</v>
      </c>
      <c r="E13" s="122" t="s">
        <v>40</v>
      </c>
      <c r="F13" s="123"/>
      <c r="G13" s="17" t="s">
        <v>296</v>
      </c>
      <c r="H13" s="17" t="s">
        <v>302</v>
      </c>
      <c r="I13" s="23"/>
      <c r="J13" s="41"/>
      <c r="K13" s="12"/>
      <c r="L13" s="12"/>
      <c r="M13" s="49"/>
      <c r="N13" s="42"/>
      <c r="O13" s="43"/>
      <c r="P13" s="13"/>
      <c r="Q13" s="14"/>
      <c r="R13" s="14"/>
    </row>
    <row r="14" spans="1:18" ht="15.75" customHeight="1" outlineLevel="1">
      <c r="A14" s="16" t="s">
        <v>304</v>
      </c>
      <c r="B14" s="16" t="s">
        <v>38</v>
      </c>
      <c r="C14" s="16"/>
      <c r="D14" s="16" t="s">
        <v>305</v>
      </c>
      <c r="E14" s="122" t="s">
        <v>40</v>
      </c>
      <c r="F14" s="123"/>
      <c r="G14" s="17" t="s">
        <v>296</v>
      </c>
      <c r="H14" s="17" t="s">
        <v>304</v>
      </c>
      <c r="I14" s="23"/>
      <c r="J14" s="41"/>
      <c r="K14" s="12"/>
      <c r="L14" s="12"/>
      <c r="M14" s="49"/>
      <c r="N14" s="42"/>
      <c r="O14" s="43"/>
      <c r="P14" s="13"/>
      <c r="Q14" s="14"/>
      <c r="R14" s="14"/>
    </row>
    <row r="15" spans="1:18" ht="15.75" customHeight="1" outlineLevel="1">
      <c r="A15" s="16" t="s">
        <v>306</v>
      </c>
      <c r="B15" s="16" t="s">
        <v>38</v>
      </c>
      <c r="C15" s="16"/>
      <c r="D15" s="16" t="s">
        <v>307</v>
      </c>
      <c r="E15" s="122" t="s">
        <v>40</v>
      </c>
      <c r="F15" s="123"/>
      <c r="G15" s="17" t="s">
        <v>296</v>
      </c>
      <c r="H15" s="17" t="s">
        <v>306</v>
      </c>
      <c r="I15" s="23"/>
      <c r="J15" s="41"/>
      <c r="K15" s="12"/>
      <c r="L15" s="12"/>
      <c r="M15" s="49"/>
      <c r="N15" s="42"/>
      <c r="O15" s="43"/>
      <c r="P15" s="13"/>
      <c r="Q15" s="14"/>
      <c r="R15" s="14"/>
    </row>
    <row r="16" spans="1:18" ht="15.75" customHeight="1" outlineLevel="1">
      <c r="A16" s="16" t="s">
        <v>308</v>
      </c>
      <c r="B16" s="16" t="s">
        <v>38</v>
      </c>
      <c r="C16" s="16"/>
      <c r="D16" s="16" t="s">
        <v>309</v>
      </c>
      <c r="E16" s="122" t="s">
        <v>40</v>
      </c>
      <c r="F16" s="123"/>
      <c r="G16" s="17" t="s">
        <v>296</v>
      </c>
      <c r="H16" s="17" t="s">
        <v>308</v>
      </c>
      <c r="I16" s="23"/>
      <c r="J16" s="41"/>
      <c r="K16" s="12"/>
      <c r="L16" s="12"/>
      <c r="M16" s="49"/>
      <c r="N16" s="42"/>
      <c r="O16" s="43"/>
      <c r="P16" s="13"/>
      <c r="Q16" s="14"/>
      <c r="R16" s="14"/>
    </row>
    <row r="17" spans="1:18" ht="15.75" customHeight="1" outlineLevel="1">
      <c r="A17" s="16" t="s">
        <v>310</v>
      </c>
      <c r="B17" s="16" t="s">
        <v>38</v>
      </c>
      <c r="C17" s="16"/>
      <c r="D17" s="16" t="s">
        <v>311</v>
      </c>
      <c r="E17" s="122" t="s">
        <v>40</v>
      </c>
      <c r="F17" s="123"/>
      <c r="G17" s="17" t="s">
        <v>296</v>
      </c>
      <c r="H17" s="17" t="s">
        <v>310</v>
      </c>
      <c r="I17" s="23"/>
      <c r="J17" s="41"/>
      <c r="K17" s="12"/>
      <c r="L17" s="12"/>
      <c r="M17" s="45"/>
      <c r="N17" s="140"/>
      <c r="O17" s="141"/>
      <c r="P17" s="13"/>
      <c r="Q17" s="14"/>
      <c r="R17" s="14"/>
    </row>
    <row r="18" spans="1:18" ht="15.75" customHeight="1" outlineLevel="1">
      <c r="A18" s="16" t="s">
        <v>312</v>
      </c>
      <c r="B18" s="16" t="s">
        <v>38</v>
      </c>
      <c r="C18" s="16"/>
      <c r="D18" s="16" t="s">
        <v>313</v>
      </c>
      <c r="E18" s="122" t="s">
        <v>40</v>
      </c>
      <c r="F18" s="123"/>
      <c r="G18" s="17" t="s">
        <v>296</v>
      </c>
      <c r="H18" s="17" t="s">
        <v>312</v>
      </c>
      <c r="I18" s="24"/>
      <c r="J18" s="51"/>
      <c r="K18" s="3"/>
      <c r="L18" s="3"/>
      <c r="M18" s="49"/>
      <c r="N18" s="142"/>
      <c r="O18" s="143"/>
      <c r="P18" s="4"/>
      <c r="Q18" s="14"/>
      <c r="R18" s="14"/>
    </row>
    <row r="19" spans="1:18" ht="15.75" customHeight="1">
      <c r="A19" s="16" t="s">
        <v>314</v>
      </c>
      <c r="B19" s="16" t="s">
        <v>50</v>
      </c>
      <c r="C19" s="16"/>
      <c r="D19" s="16" t="s">
        <v>315</v>
      </c>
      <c r="E19" s="122" t="s">
        <v>40</v>
      </c>
      <c r="F19" s="123"/>
      <c r="G19" s="17" t="s">
        <v>296</v>
      </c>
      <c r="H19" s="17" t="s">
        <v>314</v>
      </c>
      <c r="I19" s="24"/>
      <c r="M19" s="49"/>
      <c r="N19" s="142"/>
      <c r="O19" s="143"/>
    </row>
    <row r="20" spans="1:18" ht="15.75" customHeight="1">
      <c r="A20" s="16" t="s">
        <v>316</v>
      </c>
      <c r="B20" s="16" t="s">
        <v>38</v>
      </c>
      <c r="C20" s="16"/>
      <c r="D20" s="16" t="s">
        <v>317</v>
      </c>
      <c r="E20" s="122" t="s">
        <v>40</v>
      </c>
      <c r="F20" s="123"/>
      <c r="G20" s="17" t="s">
        <v>296</v>
      </c>
      <c r="H20" s="17" t="s">
        <v>316</v>
      </c>
      <c r="I20" s="24"/>
      <c r="M20" s="49"/>
      <c r="N20" s="142"/>
      <c r="O20" s="143"/>
    </row>
    <row r="21" spans="1:18" ht="15.75" customHeight="1">
      <c r="A21" s="16" t="s">
        <v>318</v>
      </c>
      <c r="B21" s="16" t="s">
        <v>38</v>
      </c>
      <c r="C21" s="16"/>
      <c r="D21" s="16" t="s">
        <v>319</v>
      </c>
      <c r="E21" s="122" t="s">
        <v>40</v>
      </c>
      <c r="F21" s="123"/>
      <c r="G21" s="17" t="s">
        <v>296</v>
      </c>
      <c r="H21" s="17" t="s">
        <v>318</v>
      </c>
      <c r="I21" s="24"/>
      <c r="M21" s="49"/>
      <c r="N21" s="142"/>
      <c r="O21" s="143"/>
    </row>
    <row r="22" spans="1:18" ht="15.75" customHeight="1">
      <c r="A22" s="16" t="s">
        <v>320</v>
      </c>
      <c r="B22" s="16" t="s">
        <v>50</v>
      </c>
      <c r="C22" s="16"/>
      <c r="D22" s="16" t="s">
        <v>321</v>
      </c>
      <c r="E22" s="122" t="s">
        <v>40</v>
      </c>
      <c r="F22" s="123"/>
      <c r="G22" s="17" t="s">
        <v>296</v>
      </c>
      <c r="H22" s="17" t="s">
        <v>320</v>
      </c>
      <c r="I22" s="24"/>
      <c r="M22" s="49"/>
      <c r="N22" s="142"/>
      <c r="O22" s="143"/>
    </row>
    <row r="23" spans="1:18" ht="15.75" customHeight="1">
      <c r="A23" s="16" t="s">
        <v>322</v>
      </c>
      <c r="B23" s="16" t="s">
        <v>38</v>
      </c>
      <c r="C23" s="16"/>
      <c r="D23" s="16" t="s">
        <v>323</v>
      </c>
      <c r="E23" s="122" t="s">
        <v>40</v>
      </c>
      <c r="F23" s="123"/>
      <c r="G23" s="17" t="s">
        <v>296</v>
      </c>
      <c r="H23" s="17" t="s">
        <v>322</v>
      </c>
      <c r="I23" s="24"/>
      <c r="M23" s="49"/>
      <c r="N23" s="142"/>
      <c r="O23" s="143"/>
    </row>
    <row r="24" spans="1:18" ht="15.75" customHeight="1">
      <c r="A24" s="16" t="s">
        <v>324</v>
      </c>
      <c r="B24" s="16" t="s">
        <v>38</v>
      </c>
      <c r="C24" s="16"/>
      <c r="D24" s="16" t="s">
        <v>325</v>
      </c>
      <c r="E24" s="122" t="s">
        <v>40</v>
      </c>
      <c r="F24" s="123"/>
      <c r="G24" s="17" t="s">
        <v>296</v>
      </c>
      <c r="H24" s="17" t="s">
        <v>324</v>
      </c>
      <c r="I24" s="24"/>
      <c r="M24" s="49"/>
      <c r="N24" s="142"/>
      <c r="O24" s="143"/>
    </row>
    <row r="25" spans="1:18" ht="15.75" customHeight="1">
      <c r="A25" s="16" t="s">
        <v>326</v>
      </c>
      <c r="B25" s="16" t="s">
        <v>38</v>
      </c>
      <c r="C25" s="16"/>
      <c r="D25" s="16" t="s">
        <v>327</v>
      </c>
      <c r="E25" s="122" t="s">
        <v>40</v>
      </c>
      <c r="F25" s="123"/>
      <c r="G25" s="17" t="s">
        <v>296</v>
      </c>
      <c r="H25" s="17" t="s">
        <v>326</v>
      </c>
      <c r="I25" s="24"/>
      <c r="M25" s="49"/>
      <c r="N25" s="142"/>
      <c r="O25" s="143"/>
    </row>
    <row r="26" spans="1:18" ht="15.75" customHeight="1">
      <c r="A26" s="16" t="s">
        <v>328</v>
      </c>
      <c r="B26" s="16" t="s">
        <v>38</v>
      </c>
      <c r="C26" s="16"/>
      <c r="D26" s="16" t="s">
        <v>329</v>
      </c>
      <c r="E26" s="122" t="s">
        <v>40</v>
      </c>
      <c r="F26" s="123"/>
      <c r="G26" s="17" t="s">
        <v>296</v>
      </c>
      <c r="H26" s="17" t="s">
        <v>328</v>
      </c>
      <c r="I26" s="24"/>
      <c r="M26" s="49"/>
      <c r="N26" s="142"/>
      <c r="O26" s="143"/>
    </row>
    <row r="27" spans="1:18" ht="15.75" customHeight="1">
      <c r="A27" s="16" t="s">
        <v>330</v>
      </c>
      <c r="B27" s="16" t="s">
        <v>38</v>
      </c>
      <c r="C27" s="16"/>
      <c r="D27" s="16" t="s">
        <v>331</v>
      </c>
      <c r="E27" s="122" t="s">
        <v>40</v>
      </c>
      <c r="F27" s="123"/>
      <c r="G27" s="17" t="s">
        <v>296</v>
      </c>
      <c r="H27" s="17" t="s">
        <v>330</v>
      </c>
      <c r="I27" s="24"/>
      <c r="M27" s="49"/>
      <c r="N27" s="142"/>
      <c r="O27" s="143"/>
    </row>
    <row r="28" spans="1:18" ht="15.75" customHeight="1">
      <c r="A28" s="16" t="s">
        <v>332</v>
      </c>
      <c r="B28" s="16" t="s">
        <v>38</v>
      </c>
      <c r="C28" s="16"/>
      <c r="D28" s="16" t="s">
        <v>333</v>
      </c>
      <c r="E28" s="122" t="s">
        <v>40</v>
      </c>
      <c r="F28" s="123"/>
      <c r="G28" s="17" t="s">
        <v>296</v>
      </c>
      <c r="H28" s="17" t="s">
        <v>332</v>
      </c>
      <c r="I28" s="24"/>
      <c r="M28" s="49"/>
      <c r="N28" s="142"/>
      <c r="O28" s="143"/>
    </row>
    <row r="29" spans="1:18" ht="15.75" customHeight="1">
      <c r="A29" s="16" t="s">
        <v>334</v>
      </c>
      <c r="B29" s="16" t="s">
        <v>38</v>
      </c>
      <c r="C29" s="16"/>
      <c r="D29" s="16" t="s">
        <v>335</v>
      </c>
      <c r="E29" s="122" t="s">
        <v>40</v>
      </c>
      <c r="F29" s="123"/>
      <c r="G29" s="17" t="s">
        <v>296</v>
      </c>
      <c r="H29" s="17" t="s">
        <v>334</v>
      </c>
      <c r="I29" s="24"/>
      <c r="M29" s="49"/>
      <c r="N29" s="142"/>
      <c r="O29" s="143"/>
    </row>
    <row r="30" spans="1:18" ht="15.75" customHeight="1">
      <c r="A30" s="16" t="s">
        <v>336</v>
      </c>
      <c r="B30" s="16" t="s">
        <v>38</v>
      </c>
      <c r="C30" s="16"/>
      <c r="D30" s="16" t="s">
        <v>337</v>
      </c>
      <c r="E30" s="122" t="s">
        <v>40</v>
      </c>
      <c r="F30" s="123"/>
      <c r="G30" s="17" t="s">
        <v>296</v>
      </c>
      <c r="H30" s="17" t="s">
        <v>336</v>
      </c>
      <c r="I30" s="24"/>
      <c r="M30" s="49"/>
      <c r="N30" s="142"/>
      <c r="O30" s="143"/>
    </row>
    <row r="31" spans="1:18" ht="15.75" customHeight="1">
      <c r="A31" s="16" t="s">
        <v>338</v>
      </c>
      <c r="B31" s="16" t="s">
        <v>50</v>
      </c>
      <c r="C31" s="16"/>
      <c r="D31" s="16" t="s">
        <v>339</v>
      </c>
      <c r="E31" s="122" t="s">
        <v>40</v>
      </c>
      <c r="F31" s="123"/>
      <c r="G31" s="17" t="s">
        <v>296</v>
      </c>
      <c r="H31" s="17" t="s">
        <v>338</v>
      </c>
      <c r="I31" s="24"/>
      <c r="M31" s="49"/>
      <c r="N31" s="142"/>
      <c r="O31" s="143"/>
    </row>
    <row r="32" spans="1:18" s="18" customFormat="1" ht="15.75" customHeight="1">
      <c r="A32" s="16" t="s">
        <v>340</v>
      </c>
      <c r="B32" s="16" t="s">
        <v>38</v>
      </c>
      <c r="C32" s="16"/>
      <c r="D32" s="16" t="s">
        <v>341</v>
      </c>
      <c r="E32" s="122" t="s">
        <v>40</v>
      </c>
      <c r="F32" s="123"/>
      <c r="G32" s="17" t="s">
        <v>296</v>
      </c>
      <c r="H32" s="17" t="s">
        <v>340</v>
      </c>
      <c r="I32" s="24"/>
      <c r="J32"/>
      <c r="K32"/>
      <c r="L32"/>
      <c r="M32" s="49"/>
      <c r="N32" s="142"/>
      <c r="O32" s="143"/>
      <c r="P32"/>
      <c r="Q32"/>
      <c r="R32"/>
    </row>
    <row r="33" spans="1:18" s="18" customFormat="1" ht="15.75" customHeight="1">
      <c r="A33" s="16" t="s">
        <v>342</v>
      </c>
      <c r="B33" s="16" t="s">
        <v>38</v>
      </c>
      <c r="C33" s="16"/>
      <c r="D33" s="16" t="s">
        <v>343</v>
      </c>
      <c r="E33" s="122" t="s">
        <v>40</v>
      </c>
      <c r="F33" s="123"/>
      <c r="G33" s="17" t="s">
        <v>296</v>
      </c>
      <c r="H33" s="17" t="s">
        <v>342</v>
      </c>
      <c r="I33" s="24"/>
      <c r="J33"/>
      <c r="K33"/>
      <c r="L33"/>
      <c r="M33" s="49"/>
      <c r="N33" s="142"/>
      <c r="O33" s="143"/>
      <c r="P33"/>
      <c r="Q33"/>
      <c r="R33"/>
    </row>
    <row r="34" spans="1:18" s="18" customFormat="1" ht="15.75" customHeight="1">
      <c r="A34" s="16" t="s">
        <v>344</v>
      </c>
      <c r="B34" s="16" t="s">
        <v>38</v>
      </c>
      <c r="C34" s="16" t="s">
        <v>345</v>
      </c>
      <c r="D34" s="16" t="s">
        <v>346</v>
      </c>
      <c r="E34" s="122" t="s">
        <v>40</v>
      </c>
      <c r="F34" s="123"/>
      <c r="G34" s="17" t="s">
        <v>296</v>
      </c>
      <c r="H34" s="17" t="s">
        <v>344</v>
      </c>
      <c r="I34" s="24"/>
      <c r="J34"/>
      <c r="K34"/>
      <c r="L34"/>
      <c r="M34" s="49"/>
      <c r="N34" s="142"/>
      <c r="O34" s="143"/>
      <c r="P34"/>
      <c r="Q34"/>
      <c r="R34"/>
    </row>
    <row r="35" spans="1:18" s="18" customFormat="1" ht="15.75" customHeight="1">
      <c r="A35" s="16" t="s">
        <v>347</v>
      </c>
      <c r="B35" s="16" t="s">
        <v>38</v>
      </c>
      <c r="C35" s="16"/>
      <c r="D35" s="16" t="s">
        <v>348</v>
      </c>
      <c r="E35" s="122" t="s">
        <v>40</v>
      </c>
      <c r="F35" s="123"/>
      <c r="G35" s="17" t="s">
        <v>296</v>
      </c>
      <c r="H35" s="17" t="s">
        <v>347</v>
      </c>
      <c r="I35" s="24"/>
      <c r="J35"/>
      <c r="K35"/>
      <c r="L35"/>
      <c r="M35" s="49"/>
      <c r="N35" s="142"/>
      <c r="O35" s="143"/>
      <c r="P35"/>
      <c r="Q35"/>
      <c r="R35"/>
    </row>
    <row r="36" spans="1:18" s="18" customFormat="1" ht="15.75" customHeight="1">
      <c r="A36" s="16" t="s">
        <v>349</v>
      </c>
      <c r="B36" s="16" t="s">
        <v>38</v>
      </c>
      <c r="C36" s="16"/>
      <c r="D36" s="16" t="s">
        <v>350</v>
      </c>
      <c r="E36" s="122" t="s">
        <v>40</v>
      </c>
      <c r="F36" s="123"/>
      <c r="G36" s="17" t="s">
        <v>296</v>
      </c>
      <c r="H36" s="17" t="s">
        <v>349</v>
      </c>
      <c r="I36" s="24"/>
      <c r="J36"/>
      <c r="K36"/>
      <c r="L36"/>
      <c r="M36" s="49"/>
      <c r="N36" s="142"/>
      <c r="O36" s="143"/>
      <c r="P36"/>
      <c r="Q36"/>
      <c r="R36"/>
    </row>
    <row r="37" spans="1:18" s="18" customFormat="1" ht="15.75" customHeight="1">
      <c r="A37" s="16" t="s">
        <v>351</v>
      </c>
      <c r="B37" s="16" t="s">
        <v>38</v>
      </c>
      <c r="C37" s="16"/>
      <c r="D37" s="16" t="s">
        <v>352</v>
      </c>
      <c r="E37" s="122" t="s">
        <v>40</v>
      </c>
      <c r="F37" s="123"/>
      <c r="G37" s="17" t="s">
        <v>296</v>
      </c>
      <c r="H37" s="17" t="s">
        <v>351</v>
      </c>
      <c r="I37" s="24"/>
      <c r="J37"/>
      <c r="K37"/>
      <c r="L37"/>
      <c r="M37" s="49"/>
      <c r="N37" s="142"/>
      <c r="O37" s="143"/>
      <c r="P37"/>
      <c r="Q37"/>
      <c r="R37"/>
    </row>
    <row r="38" spans="1:18" s="18" customFormat="1" ht="15.75" customHeight="1">
      <c r="A38" s="16" t="s">
        <v>353</v>
      </c>
      <c r="B38" s="16" t="s">
        <v>38</v>
      </c>
      <c r="C38" s="16"/>
      <c r="D38" s="16" t="s">
        <v>354</v>
      </c>
      <c r="E38" s="122" t="s">
        <v>40</v>
      </c>
      <c r="F38" s="123"/>
      <c r="G38" s="17" t="s">
        <v>296</v>
      </c>
      <c r="H38" s="17" t="s">
        <v>353</v>
      </c>
      <c r="I38" s="24"/>
      <c r="J38"/>
      <c r="K38"/>
      <c r="L38"/>
      <c r="M38" s="49"/>
      <c r="N38" s="142"/>
      <c r="O38" s="143"/>
      <c r="P38"/>
      <c r="Q38"/>
      <c r="R38"/>
    </row>
    <row r="39" spans="1:18" s="18" customFormat="1" ht="15.75" customHeight="1">
      <c r="A39" s="16" t="s">
        <v>355</v>
      </c>
      <c r="B39" s="16" t="s">
        <v>38</v>
      </c>
      <c r="C39" s="16"/>
      <c r="D39" s="16" t="s">
        <v>356</v>
      </c>
      <c r="E39" s="122" t="s">
        <v>40</v>
      </c>
      <c r="F39" s="123"/>
      <c r="G39" s="17" t="s">
        <v>296</v>
      </c>
      <c r="H39" s="17" t="s">
        <v>355</v>
      </c>
      <c r="I39" s="24"/>
      <c r="J39"/>
      <c r="K39"/>
      <c r="L39"/>
      <c r="M39" s="49"/>
      <c r="N39" s="142"/>
      <c r="O39" s="143"/>
      <c r="P39"/>
      <c r="Q39"/>
      <c r="R39"/>
    </row>
    <row r="40" spans="1:18" s="18" customFormat="1" ht="15.75" customHeight="1">
      <c r="A40" s="16" t="s">
        <v>357</v>
      </c>
      <c r="B40" s="16" t="s">
        <v>38</v>
      </c>
      <c r="C40" s="16"/>
      <c r="D40" s="16" t="s">
        <v>358</v>
      </c>
      <c r="E40" s="122" t="s">
        <v>40</v>
      </c>
      <c r="F40" s="123"/>
      <c r="G40" s="17" t="s">
        <v>296</v>
      </c>
      <c r="H40" s="17" t="s">
        <v>357</v>
      </c>
      <c r="I40" s="24"/>
      <c r="J40"/>
      <c r="K40"/>
      <c r="L40"/>
      <c r="M40" s="49"/>
      <c r="N40" s="92"/>
      <c r="O40"/>
      <c r="P40"/>
      <c r="Q40"/>
      <c r="R40"/>
    </row>
    <row r="41" spans="1:18" s="18" customFormat="1" ht="15.75" customHeight="1">
      <c r="A41" s="16" t="s">
        <v>359</v>
      </c>
      <c r="B41" s="16" t="s">
        <v>38</v>
      </c>
      <c r="C41" s="16"/>
      <c r="D41" s="16" t="s">
        <v>360</v>
      </c>
      <c r="E41" s="122" t="s">
        <v>40</v>
      </c>
      <c r="F41" s="123"/>
      <c r="G41" s="17" t="s">
        <v>296</v>
      </c>
      <c r="H41" s="17" t="s">
        <v>359</v>
      </c>
      <c r="I41" s="24"/>
      <c r="J41"/>
      <c r="K41"/>
      <c r="L41"/>
      <c r="M41" s="49"/>
      <c r="N41" s="92"/>
      <c r="O41"/>
      <c r="P41"/>
      <c r="Q41"/>
      <c r="R41"/>
    </row>
    <row r="42" spans="1:18" s="18" customFormat="1" ht="15.75" customHeight="1">
      <c r="A42" s="66" t="s">
        <v>94</v>
      </c>
      <c r="B42" s="63" t="s">
        <v>50</v>
      </c>
      <c r="C42" s="36" t="e" vm="1">
        <v>#VALUE!</v>
      </c>
      <c r="D42" s="63" t="s">
        <v>95</v>
      </c>
      <c r="E42" s="122" t="s">
        <v>40</v>
      </c>
      <c r="F42" s="123"/>
      <c r="G42" s="17" t="s">
        <v>96</v>
      </c>
      <c r="H42" s="23" t="s">
        <v>94</v>
      </c>
      <c r="I42" s="23"/>
      <c r="J42"/>
      <c r="K42"/>
      <c r="L42"/>
      <c r="M42" s="49"/>
      <c r="N42" s="92"/>
      <c r="O42"/>
      <c r="P42"/>
      <c r="Q42"/>
      <c r="R42"/>
    </row>
    <row r="43" spans="1:18" s="18" customFormat="1" ht="15.75" customHeight="1">
      <c r="A43" s="66" t="s">
        <v>97</v>
      </c>
      <c r="B43" s="63" t="s">
        <v>38</v>
      </c>
      <c r="C43" s="64"/>
      <c r="D43" s="63" t="s">
        <v>98</v>
      </c>
      <c r="E43" s="122" t="s">
        <v>40</v>
      </c>
      <c r="F43" s="123"/>
      <c r="G43" s="17" t="s">
        <v>96</v>
      </c>
      <c r="H43" s="23" t="s">
        <v>97</v>
      </c>
      <c r="I43" s="23"/>
      <c r="J43"/>
      <c r="K43"/>
      <c r="L43"/>
      <c r="M43" s="49"/>
      <c r="N43" s="92"/>
      <c r="O43"/>
      <c r="P43"/>
      <c r="Q43"/>
      <c r="R43"/>
    </row>
    <row r="44" spans="1:18" s="18" customFormat="1" ht="15.75" customHeight="1">
      <c r="A44" s="37" t="s">
        <v>361</v>
      </c>
      <c r="B44" s="34" t="s">
        <v>38</v>
      </c>
      <c r="C44" s="36"/>
      <c r="D44" s="16" t="s">
        <v>362</v>
      </c>
      <c r="E44" s="94" t="s">
        <v>363</v>
      </c>
      <c r="F44" s="95"/>
      <c r="G44" s="17" t="s">
        <v>364</v>
      </c>
      <c r="H44" s="22" t="s">
        <v>365</v>
      </c>
      <c r="I44" s="93" t="s">
        <v>366</v>
      </c>
      <c r="J44"/>
      <c r="K44"/>
      <c r="L44"/>
      <c r="M44"/>
      <c r="N44"/>
      <c r="O44"/>
      <c r="P44"/>
      <c r="Q44"/>
      <c r="R44"/>
    </row>
    <row r="45" spans="1:18" s="18" customFormat="1" ht="15.75" customHeight="1">
      <c r="A45" s="37" t="s">
        <v>367</v>
      </c>
      <c r="B45" s="34" t="s">
        <v>38</v>
      </c>
      <c r="C45" s="36"/>
      <c r="D45" s="16" t="s">
        <v>368</v>
      </c>
      <c r="E45" s="94" t="s">
        <v>363</v>
      </c>
      <c r="F45" s="95"/>
      <c r="G45" s="17" t="s">
        <v>364</v>
      </c>
      <c r="H45" s="22" t="s">
        <v>369</v>
      </c>
      <c r="I45" s="93" t="s">
        <v>370</v>
      </c>
      <c r="J45"/>
      <c r="K45"/>
      <c r="L45"/>
      <c r="M45"/>
      <c r="N45"/>
      <c r="O45"/>
      <c r="P45"/>
      <c r="Q45"/>
      <c r="R45"/>
    </row>
    <row r="46" spans="1:18" s="18" customFormat="1" ht="15.75" customHeight="1">
      <c r="A46" s="37" t="s">
        <v>371</v>
      </c>
      <c r="B46" s="34" t="s">
        <v>38</v>
      </c>
      <c r="C46" s="36"/>
      <c r="D46" s="16" t="s">
        <v>372</v>
      </c>
      <c r="E46" s="94" t="s">
        <v>363</v>
      </c>
      <c r="F46" s="95"/>
      <c r="G46" s="17" t="s">
        <v>364</v>
      </c>
      <c r="H46" s="22" t="s">
        <v>369</v>
      </c>
      <c r="I46" s="93" t="s">
        <v>373</v>
      </c>
      <c r="J46"/>
      <c r="K46"/>
      <c r="L46"/>
      <c r="M46"/>
      <c r="N46"/>
      <c r="O46"/>
      <c r="P46"/>
      <c r="Q46"/>
      <c r="R46"/>
    </row>
    <row r="47" spans="1:18" s="18" customFormat="1" ht="15.75" customHeight="1">
      <c r="A47" s="37" t="s">
        <v>374</v>
      </c>
      <c r="B47" s="34" t="s">
        <v>38</v>
      </c>
      <c r="C47" s="36"/>
      <c r="D47" s="16" t="s">
        <v>375</v>
      </c>
      <c r="E47" s="94" t="s">
        <v>363</v>
      </c>
      <c r="F47" s="95"/>
      <c r="G47" s="17" t="s">
        <v>364</v>
      </c>
      <c r="H47" s="22" t="s">
        <v>376</v>
      </c>
      <c r="I47" s="93" t="s">
        <v>377</v>
      </c>
      <c r="J47"/>
      <c r="K47"/>
      <c r="L47"/>
      <c r="M47"/>
      <c r="N47"/>
      <c r="O47"/>
      <c r="P47"/>
      <c r="Q47"/>
      <c r="R47"/>
    </row>
    <row r="48" spans="1:18" s="18" customFormat="1" ht="15.75" customHeight="1">
      <c r="A48" s="37" t="s">
        <v>378</v>
      </c>
      <c r="B48" s="34" t="s">
        <v>38</v>
      </c>
      <c r="C48" s="36"/>
      <c r="D48" s="16" t="s">
        <v>379</v>
      </c>
      <c r="E48" s="94" t="s">
        <v>363</v>
      </c>
      <c r="F48" s="95"/>
      <c r="G48" s="17" t="s">
        <v>364</v>
      </c>
      <c r="H48" s="22" t="s">
        <v>380</v>
      </c>
      <c r="I48" s="93" t="s">
        <v>381</v>
      </c>
      <c r="J48"/>
      <c r="K48"/>
      <c r="L48"/>
      <c r="M48"/>
      <c r="N48"/>
      <c r="O48"/>
      <c r="P48"/>
      <c r="Q48"/>
      <c r="R48"/>
    </row>
    <row r="49" spans="1:18" s="18" customFormat="1" ht="15.75" customHeight="1">
      <c r="A49" s="37" t="s">
        <v>382</v>
      </c>
      <c r="B49" s="34" t="s">
        <v>38</v>
      </c>
      <c r="C49" s="36"/>
      <c r="D49" s="16" t="s">
        <v>383</v>
      </c>
      <c r="E49" s="94" t="s">
        <v>363</v>
      </c>
      <c r="F49" s="95"/>
      <c r="G49" s="17" t="s">
        <v>364</v>
      </c>
      <c r="H49" s="22" t="s">
        <v>312</v>
      </c>
      <c r="I49" s="93" t="s">
        <v>384</v>
      </c>
      <c r="J49"/>
      <c r="K49"/>
      <c r="L49"/>
      <c r="M49"/>
      <c r="N49"/>
      <c r="O49"/>
      <c r="P49"/>
      <c r="Q49"/>
      <c r="R49"/>
    </row>
    <row r="50" spans="1:18" s="18" customFormat="1" ht="15.75" customHeight="1">
      <c r="A50" s="37" t="s">
        <v>385</v>
      </c>
      <c r="B50" s="34" t="s">
        <v>38</v>
      </c>
      <c r="C50" s="36"/>
      <c r="D50" s="16" t="s">
        <v>386</v>
      </c>
      <c r="E50" s="94" t="s">
        <v>387</v>
      </c>
      <c r="F50" s="95"/>
      <c r="G50" s="17" t="s">
        <v>364</v>
      </c>
      <c r="H50" s="22" t="s">
        <v>388</v>
      </c>
      <c r="I50" s="93" t="s">
        <v>389</v>
      </c>
      <c r="J50"/>
      <c r="K50"/>
      <c r="L50"/>
      <c r="M50"/>
      <c r="N50"/>
      <c r="O50"/>
      <c r="P50"/>
      <c r="Q50"/>
      <c r="R50"/>
    </row>
    <row r="51" spans="1:18" s="18" customFormat="1" ht="15.75" customHeight="1">
      <c r="A51" s="37" t="s">
        <v>390</v>
      </c>
      <c r="B51" s="34" t="s">
        <v>38</v>
      </c>
      <c r="C51" s="36"/>
      <c r="D51" s="16" t="s">
        <v>391</v>
      </c>
      <c r="E51" s="94" t="s">
        <v>387</v>
      </c>
      <c r="F51" s="95"/>
      <c r="G51" s="17" t="s">
        <v>364</v>
      </c>
      <c r="H51" s="22" t="s">
        <v>392</v>
      </c>
      <c r="I51" s="93" t="s">
        <v>393</v>
      </c>
      <c r="J51"/>
      <c r="K51"/>
      <c r="L51"/>
      <c r="M51"/>
      <c r="N51"/>
      <c r="O51"/>
      <c r="P51"/>
      <c r="Q51"/>
      <c r="R51"/>
    </row>
    <row r="52" spans="1:18" s="18" customFormat="1" ht="15.75" customHeight="1">
      <c r="A52" s="37" t="s">
        <v>394</v>
      </c>
      <c r="B52" s="34" t="s">
        <v>38</v>
      </c>
      <c r="C52" s="36"/>
      <c r="D52" s="16" t="s">
        <v>395</v>
      </c>
      <c r="E52" s="94" t="s">
        <v>387</v>
      </c>
      <c r="F52" s="95"/>
      <c r="G52" s="17" t="s">
        <v>364</v>
      </c>
      <c r="H52" s="22" t="s">
        <v>396</v>
      </c>
      <c r="I52" s="93" t="s">
        <v>397</v>
      </c>
      <c r="J52"/>
      <c r="K52"/>
      <c r="L52"/>
      <c r="M52"/>
      <c r="N52"/>
      <c r="O52"/>
      <c r="P52"/>
      <c r="Q52"/>
      <c r="R52"/>
    </row>
    <row r="53" spans="1:18" s="18" customFormat="1" ht="15.75" customHeight="1">
      <c r="A53" s="37" t="s">
        <v>398</v>
      </c>
      <c r="B53" s="34" t="s">
        <v>72</v>
      </c>
      <c r="C53" s="36"/>
      <c r="D53" s="16" t="s">
        <v>399</v>
      </c>
      <c r="E53" s="94" t="s">
        <v>387</v>
      </c>
      <c r="F53" s="95"/>
      <c r="G53" s="17" t="s">
        <v>364</v>
      </c>
      <c r="H53" s="22" t="s">
        <v>400</v>
      </c>
      <c r="I53" s="93" t="s">
        <v>401</v>
      </c>
      <c r="J53"/>
      <c r="K53"/>
      <c r="L53"/>
      <c r="M53"/>
      <c r="N53"/>
      <c r="O53"/>
      <c r="P53"/>
      <c r="Q53"/>
      <c r="R53"/>
    </row>
    <row r="54" spans="1:18" s="18" customFormat="1" ht="15.75" customHeight="1">
      <c r="A54" s="37" t="s">
        <v>402</v>
      </c>
      <c r="B54" s="34" t="s">
        <v>38</v>
      </c>
      <c r="C54" s="36"/>
      <c r="D54" s="16" t="s">
        <v>403</v>
      </c>
      <c r="E54" s="94" t="s">
        <v>387</v>
      </c>
      <c r="F54" s="95"/>
      <c r="G54" s="17" t="s">
        <v>364</v>
      </c>
      <c r="H54" s="22" t="s">
        <v>404</v>
      </c>
      <c r="I54" s="93" t="s">
        <v>405</v>
      </c>
      <c r="J54"/>
      <c r="K54"/>
      <c r="L54"/>
      <c r="M54"/>
      <c r="N54"/>
      <c r="O54"/>
      <c r="P54"/>
      <c r="Q54"/>
      <c r="R54"/>
    </row>
    <row r="55" spans="1:18" s="18" customFormat="1" ht="15.75" customHeight="1">
      <c r="A55" s="37" t="s">
        <v>406</v>
      </c>
      <c r="B55" s="34" t="s">
        <v>72</v>
      </c>
      <c r="C55" s="36"/>
      <c r="D55" s="16" t="s">
        <v>407</v>
      </c>
      <c r="E55" s="94" t="s">
        <v>363</v>
      </c>
      <c r="F55" s="95"/>
      <c r="G55" s="17" t="s">
        <v>364</v>
      </c>
      <c r="H55" s="22" t="s">
        <v>402</v>
      </c>
      <c r="I55" s="93" t="s">
        <v>408</v>
      </c>
      <c r="J55"/>
      <c r="K55"/>
      <c r="L55"/>
      <c r="M55"/>
      <c r="N55"/>
      <c r="O55"/>
      <c r="P55"/>
      <c r="Q55"/>
      <c r="R55"/>
    </row>
    <row r="56" spans="1:18" s="18" customFormat="1" ht="15.75" customHeight="1">
      <c r="A56" s="37" t="s">
        <v>409</v>
      </c>
      <c r="B56" s="34" t="s">
        <v>72</v>
      </c>
      <c r="C56" s="36"/>
      <c r="D56" s="16" t="s">
        <v>410</v>
      </c>
      <c r="E56" s="94" t="s">
        <v>363</v>
      </c>
      <c r="F56" s="95"/>
      <c r="G56" s="17" t="s">
        <v>364</v>
      </c>
      <c r="H56" s="22" t="s">
        <v>402</v>
      </c>
      <c r="I56" s="93" t="s">
        <v>411</v>
      </c>
      <c r="J56"/>
      <c r="K56"/>
      <c r="L56"/>
      <c r="M56"/>
      <c r="N56"/>
      <c r="O56"/>
      <c r="P56"/>
      <c r="Q56"/>
      <c r="R56"/>
    </row>
    <row r="57" spans="1:18" s="18" customFormat="1" ht="15.75" customHeight="1">
      <c r="A57" s="37" t="s">
        <v>412</v>
      </c>
      <c r="B57" s="34" t="s">
        <v>72</v>
      </c>
      <c r="C57" s="36"/>
      <c r="D57" s="16" t="s">
        <v>413</v>
      </c>
      <c r="E57" s="94" t="s">
        <v>363</v>
      </c>
      <c r="F57" s="95"/>
      <c r="G57" s="17" t="s">
        <v>364</v>
      </c>
      <c r="H57" s="22" t="s">
        <v>414</v>
      </c>
      <c r="I57" s="93" t="s">
        <v>415</v>
      </c>
      <c r="J57"/>
      <c r="K57"/>
      <c r="L57"/>
      <c r="M57"/>
      <c r="N57"/>
      <c r="O57"/>
      <c r="P57"/>
      <c r="Q57"/>
      <c r="R57"/>
    </row>
    <row r="58" spans="1:18" s="18" customFormat="1" ht="15.75" customHeight="1">
      <c r="A58" s="37" t="s">
        <v>416</v>
      </c>
      <c r="B58" s="34" t="s">
        <v>72</v>
      </c>
      <c r="C58" s="36"/>
      <c r="D58" s="16" t="s">
        <v>417</v>
      </c>
      <c r="E58" s="94" t="s">
        <v>363</v>
      </c>
      <c r="F58" s="95"/>
      <c r="G58" s="17" t="s">
        <v>364</v>
      </c>
      <c r="H58" s="22" t="s">
        <v>414</v>
      </c>
      <c r="I58" s="93" t="s">
        <v>418</v>
      </c>
      <c r="J58"/>
      <c r="K58"/>
      <c r="L58"/>
      <c r="M58"/>
      <c r="N58"/>
      <c r="O58"/>
      <c r="P58"/>
      <c r="Q58"/>
      <c r="R58"/>
    </row>
    <row r="59" spans="1:18" s="18" customFormat="1" ht="15.75" customHeight="1">
      <c r="A59" s="37" t="s">
        <v>419</v>
      </c>
      <c r="B59" s="34" t="s">
        <v>420</v>
      </c>
      <c r="C59" s="36"/>
      <c r="D59" s="16" t="s">
        <v>421</v>
      </c>
      <c r="E59" s="94" t="s">
        <v>363</v>
      </c>
      <c r="F59" s="95"/>
      <c r="G59" s="17" t="s">
        <v>364</v>
      </c>
      <c r="H59" s="22" t="s">
        <v>422</v>
      </c>
      <c r="I59" s="93" t="s">
        <v>423</v>
      </c>
      <c r="J59"/>
      <c r="K59"/>
      <c r="L59"/>
      <c r="M59"/>
      <c r="N59"/>
      <c r="O59"/>
      <c r="P59"/>
      <c r="Q59"/>
      <c r="R59"/>
    </row>
    <row r="60" spans="1:18" s="18" customFormat="1" ht="15.75" customHeight="1">
      <c r="E60" s="21"/>
      <c r="F60" s="44"/>
      <c r="G60" s="27"/>
      <c r="J60"/>
      <c r="K60"/>
      <c r="L60"/>
      <c r="M60"/>
      <c r="N60"/>
      <c r="O60"/>
      <c r="P60"/>
      <c r="Q60"/>
      <c r="R60"/>
    </row>
    <row r="61" spans="1:18" s="18" customFormat="1" ht="15.75" customHeight="1">
      <c r="E61" s="21"/>
      <c r="F61" s="44"/>
      <c r="G61" s="27"/>
      <c r="J61"/>
      <c r="K61"/>
      <c r="L61"/>
      <c r="M61"/>
      <c r="N61"/>
      <c r="O61"/>
      <c r="P61"/>
      <c r="Q61"/>
      <c r="R61"/>
    </row>
    <row r="62" spans="1:18" s="18" customFormat="1" ht="15.75" customHeight="1">
      <c r="E62" s="21"/>
      <c r="F62" s="44"/>
      <c r="G62" s="27"/>
      <c r="J62"/>
      <c r="K62"/>
      <c r="L62"/>
      <c r="M62"/>
      <c r="N62"/>
      <c r="O62"/>
      <c r="P62"/>
      <c r="Q62"/>
      <c r="R62"/>
    </row>
    <row r="63" spans="1:18" s="18" customFormat="1" ht="15.75" customHeight="1">
      <c r="E63" s="21"/>
      <c r="F63" s="44"/>
      <c r="G63" s="27"/>
      <c r="J63"/>
      <c r="K63"/>
      <c r="L63"/>
      <c r="M63"/>
      <c r="N63"/>
      <c r="O63"/>
      <c r="P63"/>
      <c r="Q63"/>
      <c r="R63"/>
    </row>
    <row r="64" spans="1:18" s="18" customFormat="1" ht="15.75" customHeight="1">
      <c r="E64" s="21"/>
      <c r="F64" s="44"/>
      <c r="G64" s="27"/>
      <c r="J64"/>
      <c r="K64"/>
      <c r="L64"/>
      <c r="M64"/>
      <c r="N64"/>
      <c r="O64"/>
      <c r="P64"/>
      <c r="Q64"/>
      <c r="R64"/>
    </row>
    <row r="65" spans="5:18" s="18" customFormat="1" ht="15.75" customHeight="1">
      <c r="E65" s="21"/>
      <c r="F65" s="44"/>
      <c r="G65" s="27"/>
      <c r="J65"/>
      <c r="K65"/>
      <c r="L65"/>
      <c r="M65"/>
      <c r="N65"/>
      <c r="O65"/>
      <c r="P65"/>
      <c r="Q65"/>
      <c r="R65"/>
    </row>
    <row r="66" spans="5:18" s="18" customFormat="1" ht="15.75" customHeight="1">
      <c r="E66" s="21"/>
      <c r="F66" s="44"/>
      <c r="G66" s="27"/>
      <c r="J66"/>
      <c r="K66"/>
      <c r="L66"/>
      <c r="M66"/>
      <c r="N66"/>
      <c r="O66"/>
      <c r="P66"/>
      <c r="Q66"/>
      <c r="R66"/>
    </row>
    <row r="67" spans="5:18" s="18" customFormat="1" ht="15.75" customHeight="1">
      <c r="E67" s="21"/>
      <c r="F67" s="44"/>
      <c r="G67" s="27"/>
      <c r="J67"/>
      <c r="K67"/>
      <c r="L67"/>
      <c r="M67"/>
      <c r="N67"/>
      <c r="O67"/>
      <c r="P67"/>
      <c r="Q67"/>
      <c r="R67"/>
    </row>
    <row r="68" spans="5:18" s="18" customFormat="1" ht="15.75" customHeight="1">
      <c r="E68" s="21"/>
      <c r="F68" s="44"/>
      <c r="G68" s="27"/>
      <c r="J68"/>
      <c r="K68"/>
      <c r="L68"/>
      <c r="M68"/>
      <c r="N68"/>
      <c r="O68"/>
      <c r="P68"/>
      <c r="Q68"/>
      <c r="R68"/>
    </row>
    <row r="69" spans="5:18" s="18" customFormat="1" ht="15.75" customHeight="1">
      <c r="E69" s="21"/>
      <c r="F69" s="44"/>
      <c r="G69" s="27"/>
      <c r="J69"/>
      <c r="K69"/>
      <c r="L69"/>
      <c r="M69"/>
      <c r="N69"/>
      <c r="O69"/>
      <c r="P69"/>
      <c r="Q69"/>
      <c r="R69"/>
    </row>
    <row r="70" spans="5:18" s="18" customFormat="1" ht="15.75" customHeight="1">
      <c r="E70" s="21"/>
      <c r="F70" s="44"/>
      <c r="G70" s="27"/>
      <c r="J70"/>
      <c r="K70"/>
      <c r="L70"/>
      <c r="M70"/>
      <c r="N70"/>
      <c r="O70"/>
      <c r="P70"/>
      <c r="Q70"/>
      <c r="R70"/>
    </row>
    <row r="71" spans="5:18" s="18" customFormat="1" ht="15.75" customHeight="1">
      <c r="E71" s="21"/>
      <c r="F71" s="44"/>
      <c r="G71" s="27"/>
      <c r="J71"/>
      <c r="K71"/>
      <c r="L71"/>
      <c r="M71"/>
      <c r="N71"/>
      <c r="O71"/>
      <c r="P71"/>
      <c r="Q71"/>
      <c r="R71"/>
    </row>
    <row r="72" spans="5:18" s="18" customFormat="1" ht="15.75" customHeight="1">
      <c r="E72" s="21"/>
      <c r="F72" s="44"/>
      <c r="G72" s="27"/>
      <c r="J72"/>
      <c r="K72"/>
      <c r="L72"/>
      <c r="M72"/>
      <c r="N72"/>
      <c r="O72"/>
      <c r="P72"/>
      <c r="Q72"/>
      <c r="R72"/>
    </row>
    <row r="73" spans="5:18" s="18" customFormat="1" ht="15.75" customHeight="1">
      <c r="E73" s="21"/>
      <c r="F73" s="44"/>
      <c r="G73" s="27"/>
      <c r="J73"/>
      <c r="K73"/>
      <c r="L73"/>
      <c r="M73"/>
      <c r="N73"/>
      <c r="O73"/>
      <c r="P73"/>
      <c r="Q73"/>
      <c r="R73"/>
    </row>
    <row r="74" spans="5:18" s="18" customFormat="1" ht="15.75" customHeight="1">
      <c r="E74" s="21"/>
      <c r="F74" s="44"/>
      <c r="G74" s="27"/>
      <c r="J74"/>
      <c r="K74"/>
      <c r="L74"/>
      <c r="M74"/>
      <c r="N74"/>
      <c r="O74"/>
      <c r="P74"/>
      <c r="Q74"/>
      <c r="R74"/>
    </row>
    <row r="75" spans="5:18" s="18" customFormat="1" ht="15.75" customHeight="1">
      <c r="E75" s="21"/>
      <c r="F75" s="44"/>
      <c r="G75" s="27"/>
      <c r="J75"/>
      <c r="K75"/>
      <c r="L75"/>
      <c r="M75"/>
      <c r="N75"/>
      <c r="O75"/>
      <c r="P75"/>
      <c r="Q75"/>
      <c r="R75"/>
    </row>
    <row r="76" spans="5:18" s="18" customFormat="1" ht="15.75" customHeight="1">
      <c r="E76" s="21"/>
      <c r="F76" s="44"/>
      <c r="G76" s="27"/>
      <c r="J76"/>
      <c r="K76"/>
      <c r="L76"/>
      <c r="M76"/>
      <c r="N76"/>
      <c r="O76"/>
      <c r="P76"/>
      <c r="Q76"/>
      <c r="R76"/>
    </row>
    <row r="77" spans="5:18" s="18" customFormat="1" ht="15.75" customHeight="1">
      <c r="E77" s="21"/>
      <c r="F77" s="44"/>
      <c r="G77" s="27"/>
      <c r="J77"/>
      <c r="K77"/>
      <c r="L77"/>
      <c r="M77"/>
      <c r="N77"/>
      <c r="O77"/>
      <c r="P77"/>
      <c r="Q77"/>
      <c r="R77"/>
    </row>
    <row r="78" spans="5:18" s="18" customFormat="1" ht="15.75" customHeight="1">
      <c r="E78" s="21"/>
      <c r="F78" s="44"/>
      <c r="G78" s="27"/>
      <c r="J78"/>
      <c r="K78"/>
      <c r="L78"/>
      <c r="M78"/>
      <c r="N78"/>
      <c r="O78"/>
      <c r="P78"/>
      <c r="Q78"/>
      <c r="R78"/>
    </row>
    <row r="79" spans="5:18" s="18" customFormat="1" ht="15.75" customHeight="1">
      <c r="E79" s="21"/>
      <c r="F79" s="44"/>
      <c r="G79" s="27"/>
      <c r="J79"/>
      <c r="K79"/>
      <c r="L79"/>
      <c r="M79"/>
      <c r="N79"/>
      <c r="O79"/>
      <c r="P79"/>
      <c r="Q79"/>
      <c r="R79"/>
    </row>
    <row r="80" spans="5:18" s="18" customFormat="1" ht="15.75" customHeight="1">
      <c r="E80" s="21"/>
      <c r="F80" s="44"/>
      <c r="G80" s="27"/>
      <c r="J80"/>
      <c r="K80"/>
      <c r="L80"/>
      <c r="M80"/>
      <c r="N80"/>
      <c r="O80"/>
      <c r="P80"/>
      <c r="Q80"/>
      <c r="R80"/>
    </row>
    <row r="81" spans="5:18" s="18" customFormat="1" ht="15.75" customHeight="1">
      <c r="E81" s="21"/>
      <c r="F81" s="44"/>
      <c r="G81" s="27"/>
      <c r="J81"/>
      <c r="K81"/>
      <c r="L81"/>
      <c r="M81"/>
      <c r="N81"/>
      <c r="O81"/>
      <c r="P81"/>
      <c r="Q81"/>
      <c r="R81"/>
    </row>
    <row r="82" spans="5:18" s="18" customFormat="1" ht="15.75" customHeight="1">
      <c r="E82" s="21"/>
      <c r="F82" s="44"/>
      <c r="G82" s="27"/>
      <c r="J82"/>
      <c r="K82"/>
      <c r="L82"/>
      <c r="M82"/>
      <c r="N82"/>
      <c r="O82"/>
      <c r="P82"/>
      <c r="Q82"/>
      <c r="R82"/>
    </row>
    <row r="83" spans="5:18" s="18" customFormat="1" ht="15.75" customHeight="1">
      <c r="E83" s="21"/>
      <c r="F83" s="44"/>
      <c r="G83" s="27"/>
      <c r="J83"/>
      <c r="K83"/>
      <c r="L83"/>
      <c r="M83"/>
      <c r="N83"/>
      <c r="O83"/>
      <c r="P83"/>
      <c r="Q83"/>
      <c r="R83"/>
    </row>
    <row r="84" spans="5:18" s="18" customFormat="1" ht="15.75" customHeight="1">
      <c r="E84" s="21"/>
      <c r="F84" s="44"/>
      <c r="G84" s="27"/>
      <c r="J84"/>
      <c r="K84"/>
      <c r="L84"/>
      <c r="M84"/>
      <c r="N84"/>
      <c r="O84"/>
      <c r="P84"/>
      <c r="Q84"/>
      <c r="R84"/>
    </row>
    <row r="85" spans="5:18" s="18" customFormat="1" ht="15.75" customHeight="1">
      <c r="E85" s="21"/>
      <c r="F85" s="44"/>
      <c r="G85" s="27"/>
      <c r="J85"/>
      <c r="K85"/>
      <c r="L85"/>
      <c r="M85"/>
      <c r="N85"/>
      <c r="O85"/>
      <c r="P85"/>
      <c r="Q85"/>
      <c r="R85"/>
    </row>
    <row r="86" spans="5:18" s="18" customFormat="1" ht="15.75" customHeight="1">
      <c r="E86" s="21"/>
      <c r="F86" s="44"/>
      <c r="G86" s="27"/>
      <c r="J86"/>
      <c r="K86"/>
      <c r="L86"/>
      <c r="M86"/>
      <c r="N86"/>
      <c r="O86"/>
      <c r="P86"/>
      <c r="Q86"/>
      <c r="R86"/>
    </row>
    <row r="87" spans="5:18" s="18" customFormat="1" ht="15.75" customHeight="1">
      <c r="E87" s="21"/>
      <c r="F87" s="44"/>
      <c r="G87" s="27"/>
      <c r="J87"/>
      <c r="K87"/>
      <c r="L87"/>
      <c r="M87"/>
      <c r="N87"/>
      <c r="O87"/>
      <c r="P87"/>
      <c r="Q87"/>
      <c r="R87"/>
    </row>
    <row r="88" spans="5:18" s="18" customFormat="1" ht="15.75" customHeight="1">
      <c r="E88" s="21"/>
      <c r="F88" s="44"/>
      <c r="G88" s="27"/>
      <c r="J88"/>
      <c r="K88"/>
      <c r="L88"/>
      <c r="M88"/>
      <c r="N88"/>
      <c r="O88"/>
      <c r="P88"/>
      <c r="Q88"/>
      <c r="R88"/>
    </row>
    <row r="89" spans="5:18" s="18" customFormat="1" ht="15.75" customHeight="1">
      <c r="E89" s="21"/>
      <c r="F89" s="44"/>
      <c r="G89" s="27"/>
      <c r="J89"/>
      <c r="K89"/>
      <c r="L89"/>
      <c r="M89"/>
      <c r="N89"/>
      <c r="O89"/>
      <c r="P89"/>
      <c r="Q89"/>
      <c r="R89"/>
    </row>
    <row r="90" spans="5:18" s="18" customFormat="1" ht="15.75" customHeight="1">
      <c r="E90" s="21"/>
      <c r="F90" s="44"/>
      <c r="G90" s="27"/>
      <c r="J90"/>
      <c r="K90"/>
      <c r="L90"/>
      <c r="M90"/>
      <c r="N90"/>
      <c r="O90"/>
      <c r="P90"/>
      <c r="Q90"/>
      <c r="R90"/>
    </row>
    <row r="91" spans="5:18" s="18" customFormat="1" ht="15.75" customHeight="1">
      <c r="E91" s="21"/>
      <c r="F91" s="44"/>
      <c r="G91" s="27"/>
      <c r="J91"/>
      <c r="K91"/>
      <c r="L91"/>
      <c r="M91"/>
      <c r="N91"/>
      <c r="O91"/>
      <c r="P91"/>
      <c r="Q91"/>
      <c r="R91"/>
    </row>
    <row r="92" spans="5:18" s="18" customFormat="1" ht="15.75" customHeight="1">
      <c r="E92" s="21"/>
      <c r="F92" s="44"/>
      <c r="G92" s="27"/>
      <c r="J92"/>
      <c r="K92"/>
      <c r="L92"/>
      <c r="M92"/>
      <c r="N92"/>
      <c r="O92"/>
      <c r="P92"/>
      <c r="Q92"/>
      <c r="R92"/>
    </row>
    <row r="93" spans="5:18" s="18" customFormat="1" ht="15.75" customHeight="1">
      <c r="E93" s="21"/>
      <c r="F93" s="44"/>
      <c r="G93" s="27"/>
      <c r="J93"/>
      <c r="K93"/>
      <c r="L93"/>
      <c r="M93"/>
      <c r="N93"/>
      <c r="O93"/>
      <c r="P93"/>
      <c r="Q93"/>
      <c r="R93"/>
    </row>
    <row r="94" spans="5:18" s="18" customFormat="1" ht="15.75" customHeight="1">
      <c r="E94" s="21"/>
      <c r="F94" s="44"/>
      <c r="G94" s="27"/>
      <c r="J94"/>
      <c r="K94"/>
      <c r="L94"/>
      <c r="M94"/>
      <c r="N94"/>
      <c r="O94"/>
      <c r="P94"/>
      <c r="Q94"/>
      <c r="R94"/>
    </row>
    <row r="95" spans="5:18" s="18" customFormat="1" ht="15.75" customHeight="1">
      <c r="E95" s="21"/>
      <c r="F95" s="44"/>
      <c r="G95" s="27"/>
      <c r="J95"/>
      <c r="K95"/>
      <c r="L95"/>
      <c r="M95"/>
      <c r="N95"/>
      <c r="O95"/>
      <c r="P95"/>
      <c r="Q95"/>
      <c r="R95"/>
    </row>
    <row r="96" spans="5:18" s="18" customFormat="1" ht="15.75" customHeight="1">
      <c r="E96" s="21"/>
      <c r="F96" s="44"/>
      <c r="G96" s="27"/>
      <c r="J96"/>
      <c r="K96"/>
      <c r="L96"/>
      <c r="M96"/>
      <c r="N96"/>
      <c r="O96"/>
      <c r="P96"/>
      <c r="Q96"/>
      <c r="R96"/>
    </row>
    <row r="97" spans="5:18" s="18" customFormat="1" ht="15.75" customHeight="1">
      <c r="E97" s="21"/>
      <c r="F97" s="44"/>
      <c r="G97" s="27"/>
      <c r="J97"/>
      <c r="K97"/>
      <c r="L97"/>
      <c r="M97"/>
      <c r="N97"/>
      <c r="O97"/>
      <c r="P97"/>
      <c r="Q97"/>
      <c r="R97"/>
    </row>
    <row r="98" spans="5:18" s="18" customFormat="1" ht="15.75" customHeight="1">
      <c r="E98" s="21"/>
      <c r="F98" s="44"/>
      <c r="G98" s="27"/>
      <c r="J98"/>
      <c r="K98"/>
      <c r="L98"/>
      <c r="M98"/>
      <c r="N98"/>
      <c r="O98"/>
      <c r="P98"/>
      <c r="Q98"/>
      <c r="R98"/>
    </row>
    <row r="99" spans="5:18" s="18" customFormat="1" ht="15.75" customHeight="1">
      <c r="E99" s="21"/>
      <c r="F99" s="44"/>
      <c r="G99" s="27"/>
      <c r="J99"/>
      <c r="K99"/>
      <c r="L99"/>
      <c r="M99"/>
      <c r="N99"/>
      <c r="O99"/>
      <c r="P99"/>
      <c r="Q99"/>
      <c r="R99"/>
    </row>
    <row r="100" spans="5:18" s="18" customFormat="1" ht="15.75" customHeight="1">
      <c r="E100" s="21"/>
      <c r="F100" s="44"/>
      <c r="G100" s="27"/>
      <c r="J100"/>
      <c r="K100"/>
      <c r="L100"/>
      <c r="M100"/>
      <c r="N100"/>
      <c r="O100"/>
      <c r="P100"/>
      <c r="Q100"/>
      <c r="R100"/>
    </row>
    <row r="101" spans="5:18" s="18" customFormat="1" ht="15.75" customHeight="1">
      <c r="E101" s="21"/>
      <c r="F101" s="44"/>
      <c r="G101" s="27"/>
      <c r="J101"/>
      <c r="K101"/>
      <c r="L101"/>
      <c r="M101"/>
      <c r="N101"/>
      <c r="O101"/>
      <c r="P101"/>
      <c r="Q101"/>
      <c r="R101"/>
    </row>
    <row r="102" spans="5:18" s="18" customFormat="1" ht="15.75" customHeight="1">
      <c r="E102" s="21"/>
      <c r="F102" s="44"/>
      <c r="G102" s="27"/>
      <c r="J102"/>
      <c r="K102"/>
      <c r="L102"/>
      <c r="M102"/>
      <c r="N102"/>
      <c r="O102"/>
      <c r="P102"/>
      <c r="Q102"/>
      <c r="R102"/>
    </row>
    <row r="103" spans="5:18" s="18" customFormat="1" ht="15.75" customHeight="1">
      <c r="E103" s="21"/>
      <c r="F103" s="44"/>
      <c r="G103" s="27"/>
      <c r="J103"/>
      <c r="K103"/>
      <c r="L103"/>
      <c r="M103"/>
      <c r="N103"/>
      <c r="O103"/>
      <c r="P103"/>
      <c r="Q103"/>
      <c r="R103"/>
    </row>
    <row r="104" spans="5:18" s="18" customFormat="1" ht="15.75" customHeight="1">
      <c r="E104" s="21"/>
      <c r="F104" s="44"/>
      <c r="G104" s="27"/>
      <c r="J104"/>
      <c r="K104"/>
      <c r="L104"/>
      <c r="M104"/>
      <c r="N104"/>
      <c r="O104"/>
      <c r="P104"/>
      <c r="Q104"/>
      <c r="R104"/>
    </row>
    <row r="105" spans="5:18" s="18" customFormat="1" ht="15.75" customHeight="1">
      <c r="E105" s="21"/>
      <c r="F105" s="44"/>
      <c r="G105" s="27"/>
      <c r="J105"/>
      <c r="K105"/>
      <c r="L105"/>
      <c r="M105"/>
      <c r="N105"/>
      <c r="O105"/>
      <c r="P105"/>
      <c r="Q105"/>
      <c r="R105"/>
    </row>
    <row r="106" spans="5:18" s="18" customFormat="1" ht="15.75" customHeight="1">
      <c r="E106" s="21"/>
      <c r="F106" s="44"/>
      <c r="G106" s="27"/>
      <c r="J106"/>
      <c r="K106"/>
      <c r="L106"/>
      <c r="M106"/>
      <c r="N106"/>
      <c r="O106"/>
      <c r="P106"/>
      <c r="Q106"/>
      <c r="R106"/>
    </row>
    <row r="107" spans="5:18" s="18" customFormat="1" ht="15.75" customHeight="1">
      <c r="E107" s="21"/>
      <c r="F107" s="44"/>
      <c r="G107" s="27"/>
      <c r="J107"/>
      <c r="K107"/>
      <c r="L107"/>
      <c r="M107"/>
      <c r="N107"/>
      <c r="O107"/>
      <c r="P107"/>
      <c r="Q107"/>
      <c r="R107"/>
    </row>
    <row r="108" spans="5:18" s="18" customFormat="1" ht="15.75" customHeight="1">
      <c r="E108" s="21"/>
      <c r="F108" s="44"/>
      <c r="G108" s="27"/>
      <c r="J108"/>
      <c r="K108"/>
      <c r="L108"/>
      <c r="M108"/>
      <c r="N108"/>
      <c r="O108"/>
      <c r="P108"/>
      <c r="Q108"/>
      <c r="R108"/>
    </row>
    <row r="109" spans="5:18" s="18" customFormat="1" ht="15.75" customHeight="1">
      <c r="E109" s="21"/>
      <c r="F109" s="44"/>
      <c r="G109" s="27"/>
      <c r="J109"/>
      <c r="K109"/>
      <c r="L109"/>
      <c r="M109"/>
      <c r="N109"/>
      <c r="O109"/>
      <c r="P109"/>
      <c r="Q109"/>
      <c r="R109"/>
    </row>
    <row r="110" spans="5:18" s="18" customFormat="1" ht="15.75" customHeight="1">
      <c r="E110" s="21"/>
      <c r="F110" s="44"/>
      <c r="G110" s="27"/>
      <c r="J110"/>
      <c r="K110"/>
      <c r="L110"/>
      <c r="M110"/>
      <c r="N110"/>
      <c r="O110"/>
      <c r="P110"/>
      <c r="Q110"/>
      <c r="R110"/>
    </row>
    <row r="111" spans="5:18" s="18" customFormat="1" ht="15.75" customHeight="1">
      <c r="E111" s="21"/>
      <c r="F111" s="44"/>
      <c r="G111" s="27"/>
      <c r="J111"/>
      <c r="K111"/>
      <c r="L111"/>
      <c r="M111"/>
      <c r="N111"/>
      <c r="O111"/>
      <c r="P111"/>
      <c r="Q111"/>
      <c r="R111"/>
    </row>
    <row r="112" spans="5:18" s="18" customFormat="1" ht="15.75" customHeight="1">
      <c r="E112" s="21"/>
      <c r="F112" s="44"/>
      <c r="G112" s="27"/>
      <c r="J112"/>
      <c r="K112"/>
      <c r="L112"/>
      <c r="M112"/>
      <c r="N112"/>
      <c r="O112"/>
      <c r="P112"/>
      <c r="Q112"/>
      <c r="R112"/>
    </row>
    <row r="113" spans="5:18" s="18" customFormat="1" ht="15.75" customHeight="1">
      <c r="E113" s="21"/>
      <c r="F113" s="44"/>
      <c r="G113" s="27"/>
      <c r="J113"/>
      <c r="K113"/>
      <c r="L113"/>
      <c r="M113"/>
      <c r="N113"/>
      <c r="O113"/>
      <c r="P113"/>
      <c r="Q113"/>
      <c r="R113"/>
    </row>
    <row r="114" spans="5:18" s="18" customFormat="1" ht="15.75" customHeight="1">
      <c r="E114" s="21"/>
      <c r="F114" s="44"/>
      <c r="G114" s="27"/>
      <c r="J114"/>
      <c r="K114"/>
      <c r="L114"/>
      <c r="M114"/>
      <c r="N114"/>
      <c r="O114"/>
      <c r="P114"/>
      <c r="Q114"/>
      <c r="R114"/>
    </row>
    <row r="115" spans="5:18" s="18" customFormat="1" ht="15.75" customHeight="1">
      <c r="E115" s="21"/>
      <c r="F115" s="44"/>
      <c r="G115" s="27"/>
      <c r="J115"/>
      <c r="K115"/>
      <c r="L115"/>
      <c r="M115"/>
      <c r="N115"/>
      <c r="O115"/>
      <c r="P115"/>
      <c r="Q115"/>
      <c r="R115"/>
    </row>
    <row r="116" spans="5:18" s="18" customFormat="1" ht="15.75" customHeight="1">
      <c r="E116" s="21"/>
      <c r="F116" s="44"/>
      <c r="G116" s="27"/>
      <c r="J116"/>
      <c r="K116"/>
      <c r="L116"/>
      <c r="M116"/>
      <c r="N116"/>
      <c r="O116"/>
      <c r="P116"/>
      <c r="Q116"/>
      <c r="R116"/>
    </row>
    <row r="117" spans="5:18" s="18" customFormat="1" ht="15.75" customHeight="1">
      <c r="E117" s="21"/>
      <c r="F117" s="44"/>
      <c r="G117" s="27"/>
      <c r="J117"/>
      <c r="K117"/>
      <c r="L117"/>
      <c r="M117"/>
      <c r="N117"/>
      <c r="O117"/>
      <c r="P117"/>
      <c r="Q117"/>
      <c r="R117"/>
    </row>
    <row r="118" spans="5:18" s="18" customFormat="1" ht="15.75" customHeight="1">
      <c r="E118" s="21"/>
      <c r="F118" s="44"/>
      <c r="G118" s="27"/>
      <c r="J118"/>
      <c r="K118"/>
      <c r="L118"/>
      <c r="M118"/>
      <c r="N118"/>
      <c r="O118"/>
      <c r="P118"/>
      <c r="Q118"/>
      <c r="R118"/>
    </row>
    <row r="119" spans="5:18" s="18" customFormat="1" ht="15.75" customHeight="1">
      <c r="E119" s="21"/>
      <c r="F119" s="44"/>
      <c r="G119" s="27"/>
      <c r="J119"/>
      <c r="K119"/>
      <c r="L119"/>
      <c r="M119"/>
      <c r="N119"/>
      <c r="O119"/>
      <c r="P119"/>
      <c r="Q119"/>
      <c r="R119"/>
    </row>
    <row r="120" spans="5:18" s="18" customFormat="1" ht="15.75" customHeight="1">
      <c r="E120" s="21"/>
      <c r="F120" s="44"/>
      <c r="G120" s="27"/>
      <c r="J120"/>
      <c r="K120"/>
      <c r="L120"/>
      <c r="M120"/>
      <c r="N120"/>
      <c r="O120"/>
      <c r="P120"/>
      <c r="Q120"/>
      <c r="R120"/>
    </row>
    <row r="121" spans="5:18" s="18" customFormat="1" ht="15.75" customHeight="1">
      <c r="E121" s="21"/>
      <c r="F121" s="44"/>
      <c r="G121" s="27"/>
      <c r="J121"/>
      <c r="K121"/>
      <c r="L121"/>
      <c r="M121"/>
      <c r="N121"/>
      <c r="O121"/>
      <c r="P121"/>
      <c r="Q121"/>
      <c r="R121"/>
    </row>
    <row r="122" spans="5:18" s="18" customFormat="1" ht="15.75" customHeight="1">
      <c r="E122" s="21"/>
      <c r="F122" s="44"/>
      <c r="G122" s="27"/>
      <c r="J122"/>
      <c r="K122"/>
      <c r="L122"/>
      <c r="M122"/>
      <c r="N122"/>
      <c r="O122"/>
      <c r="P122"/>
      <c r="Q122"/>
      <c r="R122"/>
    </row>
    <row r="123" spans="5:18" s="18" customFormat="1" ht="15.75" customHeight="1">
      <c r="E123" s="21"/>
      <c r="F123" s="44"/>
      <c r="G123" s="27"/>
      <c r="J123"/>
      <c r="K123"/>
      <c r="L123"/>
      <c r="M123"/>
      <c r="N123"/>
      <c r="O123"/>
      <c r="P123"/>
      <c r="Q123"/>
      <c r="R123"/>
    </row>
    <row r="124" spans="5:18" s="18" customFormat="1" ht="15.75" customHeight="1">
      <c r="E124" s="21"/>
      <c r="F124" s="44"/>
      <c r="G124" s="27"/>
      <c r="J124"/>
      <c r="K124"/>
      <c r="L124"/>
      <c r="M124"/>
      <c r="N124"/>
      <c r="O124"/>
      <c r="P124"/>
      <c r="Q124"/>
      <c r="R124"/>
    </row>
    <row r="125" spans="5:18" s="18" customFormat="1" ht="15.75" customHeight="1">
      <c r="E125" s="21"/>
      <c r="F125" s="44"/>
      <c r="G125" s="27"/>
      <c r="J125"/>
      <c r="K125"/>
      <c r="L125"/>
      <c r="M125"/>
      <c r="N125"/>
      <c r="O125"/>
      <c r="P125"/>
      <c r="Q125"/>
      <c r="R125"/>
    </row>
    <row r="126" spans="5:18" s="18" customFormat="1" ht="15.75" customHeight="1">
      <c r="E126" s="21"/>
      <c r="F126" s="44"/>
      <c r="G126" s="27"/>
      <c r="J126"/>
      <c r="K126"/>
      <c r="L126"/>
      <c r="M126"/>
      <c r="N126"/>
      <c r="O126"/>
      <c r="P126"/>
      <c r="Q126"/>
      <c r="R126"/>
    </row>
    <row r="127" spans="5:18" s="18" customFormat="1" ht="15.75" customHeight="1">
      <c r="E127" s="21"/>
      <c r="F127" s="44"/>
      <c r="G127" s="27"/>
      <c r="J127"/>
      <c r="K127"/>
      <c r="L127"/>
      <c r="M127"/>
      <c r="N127"/>
      <c r="O127"/>
      <c r="P127"/>
      <c r="Q127"/>
      <c r="R127"/>
    </row>
    <row r="128" spans="5:18" s="18" customFormat="1" ht="15.75" customHeight="1">
      <c r="E128" s="21"/>
      <c r="F128" s="44"/>
      <c r="G128" s="27"/>
      <c r="J128"/>
      <c r="K128"/>
      <c r="L128"/>
      <c r="M128"/>
      <c r="N128"/>
      <c r="O128"/>
      <c r="P128"/>
      <c r="Q128"/>
      <c r="R128"/>
    </row>
    <row r="129" spans="5:18" s="18" customFormat="1" ht="15.75" customHeight="1">
      <c r="E129" s="21"/>
      <c r="F129" s="44"/>
      <c r="G129" s="27"/>
      <c r="J129"/>
      <c r="K129"/>
      <c r="L129"/>
      <c r="M129"/>
      <c r="N129"/>
      <c r="O129"/>
      <c r="P129"/>
      <c r="Q129"/>
      <c r="R129"/>
    </row>
    <row r="130" spans="5:18" s="18" customFormat="1" ht="15.75" customHeight="1">
      <c r="E130" s="21"/>
      <c r="F130" s="44"/>
      <c r="G130" s="27"/>
      <c r="J130"/>
      <c r="K130"/>
      <c r="L130"/>
      <c r="M130"/>
      <c r="N130"/>
      <c r="O130"/>
      <c r="P130"/>
      <c r="Q130"/>
      <c r="R130"/>
    </row>
    <row r="131" spans="5:18" s="18" customFormat="1" ht="15.75" customHeight="1">
      <c r="E131" s="21"/>
      <c r="F131" s="44"/>
      <c r="G131" s="27"/>
      <c r="J131"/>
      <c r="K131"/>
      <c r="L131"/>
      <c r="M131"/>
      <c r="N131"/>
      <c r="O131"/>
      <c r="P131"/>
      <c r="Q131"/>
      <c r="R131"/>
    </row>
    <row r="132" spans="5:18" s="18" customFormat="1" ht="15.75" customHeight="1">
      <c r="E132" s="21"/>
      <c r="F132" s="44"/>
      <c r="G132" s="27"/>
      <c r="J132"/>
      <c r="K132"/>
      <c r="L132"/>
      <c r="M132"/>
      <c r="N132"/>
      <c r="O132"/>
      <c r="P132"/>
      <c r="Q132"/>
      <c r="R132"/>
    </row>
    <row r="133" spans="5:18" s="18" customFormat="1" ht="15.75" customHeight="1">
      <c r="E133" s="21"/>
      <c r="F133" s="44"/>
      <c r="G133" s="27"/>
      <c r="J133"/>
      <c r="K133"/>
      <c r="L133"/>
      <c r="M133"/>
      <c r="N133"/>
      <c r="O133"/>
      <c r="P133"/>
      <c r="Q133"/>
      <c r="R133"/>
    </row>
    <row r="134" spans="5:18" s="18" customFormat="1" ht="15.75" customHeight="1">
      <c r="E134" s="21"/>
      <c r="F134" s="44"/>
      <c r="G134" s="27"/>
      <c r="J134"/>
      <c r="K134"/>
      <c r="L134"/>
      <c r="M134"/>
      <c r="N134"/>
      <c r="O134"/>
      <c r="P134"/>
      <c r="Q134"/>
      <c r="R134"/>
    </row>
    <row r="135" spans="5:18" s="18" customFormat="1" ht="15.75" customHeight="1">
      <c r="E135" s="21"/>
      <c r="F135" s="44"/>
      <c r="G135" s="27"/>
      <c r="J135"/>
      <c r="K135"/>
      <c r="L135"/>
      <c r="M135"/>
      <c r="N135"/>
      <c r="O135"/>
      <c r="P135"/>
      <c r="Q135"/>
      <c r="R135"/>
    </row>
    <row r="136" spans="5:18" s="18" customFormat="1" ht="15.75" customHeight="1">
      <c r="E136" s="21"/>
      <c r="F136" s="44"/>
      <c r="G136" s="27"/>
      <c r="J136"/>
      <c r="K136"/>
      <c r="L136"/>
      <c r="M136"/>
      <c r="N136"/>
      <c r="O136"/>
      <c r="P136"/>
      <c r="Q136"/>
      <c r="R136"/>
    </row>
    <row r="137" spans="5:18" s="18" customFormat="1" ht="15.75" customHeight="1">
      <c r="E137" s="21"/>
      <c r="F137" s="44"/>
      <c r="G137" s="27"/>
      <c r="J137"/>
      <c r="K137"/>
      <c r="L137"/>
      <c r="M137"/>
      <c r="N137"/>
      <c r="O137"/>
      <c r="P137"/>
      <c r="Q137"/>
      <c r="R137"/>
    </row>
    <row r="138" spans="5:18" s="18" customFormat="1" ht="15.75" customHeight="1">
      <c r="E138" s="21"/>
      <c r="F138" s="44"/>
      <c r="G138" s="27"/>
      <c r="J138"/>
      <c r="K138"/>
      <c r="L138"/>
      <c r="M138"/>
      <c r="N138"/>
      <c r="O138"/>
      <c r="P138"/>
      <c r="Q138"/>
      <c r="R138"/>
    </row>
    <row r="139" spans="5:18" s="18" customFormat="1" ht="15.75" customHeight="1">
      <c r="E139" s="21"/>
      <c r="F139" s="44"/>
      <c r="G139" s="27"/>
      <c r="J139"/>
      <c r="K139"/>
      <c r="L139"/>
      <c r="M139"/>
      <c r="N139"/>
      <c r="O139"/>
      <c r="P139"/>
      <c r="Q139"/>
      <c r="R139"/>
    </row>
    <row r="140" spans="5:18" s="18" customFormat="1" ht="15.75" customHeight="1">
      <c r="E140" s="21"/>
      <c r="F140" s="44"/>
      <c r="G140" s="27"/>
      <c r="J140"/>
      <c r="K140"/>
      <c r="L140"/>
      <c r="M140"/>
      <c r="N140"/>
      <c r="O140"/>
      <c r="P140"/>
      <c r="Q140"/>
      <c r="R140"/>
    </row>
    <row r="141" spans="5:18" s="18" customFormat="1" ht="15.75" customHeight="1">
      <c r="E141" s="21"/>
      <c r="F141" s="44"/>
      <c r="G141" s="27"/>
      <c r="J141"/>
      <c r="K141"/>
      <c r="L141"/>
      <c r="M141"/>
      <c r="N141"/>
      <c r="O141"/>
      <c r="P141"/>
      <c r="Q141"/>
      <c r="R141"/>
    </row>
    <row r="142" spans="5:18" s="18" customFormat="1" ht="15.75" customHeight="1">
      <c r="E142" s="21"/>
      <c r="F142" s="44"/>
      <c r="G142" s="27"/>
      <c r="J142"/>
      <c r="K142"/>
      <c r="L142"/>
      <c r="M142"/>
      <c r="N142"/>
      <c r="O142"/>
      <c r="P142"/>
      <c r="Q142"/>
      <c r="R142"/>
    </row>
    <row r="143" spans="5:18" s="18" customFormat="1" ht="15.75" customHeight="1">
      <c r="E143" s="21"/>
      <c r="F143" s="44"/>
      <c r="G143" s="27"/>
      <c r="J143"/>
      <c r="K143"/>
      <c r="L143"/>
      <c r="M143"/>
      <c r="N143"/>
      <c r="O143"/>
      <c r="P143"/>
      <c r="Q143"/>
      <c r="R143"/>
    </row>
    <row r="144" spans="5:18" s="18" customFormat="1" ht="15.75" customHeight="1">
      <c r="E144" s="21"/>
      <c r="F144" s="44"/>
      <c r="G144" s="27"/>
      <c r="J144"/>
      <c r="K144"/>
      <c r="L144"/>
      <c r="M144"/>
      <c r="N144"/>
      <c r="O144"/>
      <c r="P144"/>
      <c r="Q144"/>
      <c r="R144"/>
    </row>
    <row r="145" spans="5:18" s="18" customFormat="1" ht="15.75" customHeight="1">
      <c r="E145" s="21"/>
      <c r="F145" s="44"/>
      <c r="G145" s="27"/>
      <c r="J145"/>
      <c r="K145"/>
      <c r="L145"/>
      <c r="M145"/>
      <c r="N145"/>
      <c r="O145"/>
      <c r="P145"/>
      <c r="Q145"/>
      <c r="R145"/>
    </row>
  </sheetData>
  <autoFilter ref="A8:P18" xr:uid="{00000000-0009-0000-0000-000000000000}"/>
  <mergeCells count="99">
    <mergeCell ref="E34:F34"/>
    <mergeCell ref="E35:F35"/>
    <mergeCell ref="E36:F36"/>
    <mergeCell ref="E37:F37"/>
    <mergeCell ref="E38:F38"/>
    <mergeCell ref="E33:F33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19:F19"/>
    <mergeCell ref="N19:O19"/>
    <mergeCell ref="E16:F16"/>
    <mergeCell ref="E20:F20"/>
    <mergeCell ref="E21:F21"/>
    <mergeCell ref="E18:F18"/>
    <mergeCell ref="N18:O18"/>
    <mergeCell ref="N20:O20"/>
    <mergeCell ref="N21:O21"/>
    <mergeCell ref="E13:F13"/>
    <mergeCell ref="E14:F14"/>
    <mergeCell ref="E15:F15"/>
    <mergeCell ref="E17:F17"/>
    <mergeCell ref="N17:O17"/>
    <mergeCell ref="E12:F12"/>
    <mergeCell ref="B7:D7"/>
    <mergeCell ref="E7:I7"/>
    <mergeCell ref="J7:L7"/>
    <mergeCell ref="N7:P7"/>
    <mergeCell ref="E8:F8"/>
    <mergeCell ref="N8:O8"/>
    <mergeCell ref="E9:F9"/>
    <mergeCell ref="N9:O9"/>
    <mergeCell ref="E10:F10"/>
    <mergeCell ref="E11:F11"/>
    <mergeCell ref="N11:O11"/>
    <mergeCell ref="Q2:Q5"/>
    <mergeCell ref="R2:R5"/>
    <mergeCell ref="C3:C5"/>
    <mergeCell ref="D3:D5"/>
    <mergeCell ref="F3:G3"/>
    <mergeCell ref="F4:G4"/>
    <mergeCell ref="F5:G5"/>
    <mergeCell ref="B1:D1"/>
    <mergeCell ref="E1:I1"/>
    <mergeCell ref="N1:P1"/>
    <mergeCell ref="E2:E6"/>
    <mergeCell ref="F2:G2"/>
    <mergeCell ref="J2:L6"/>
    <mergeCell ref="M2:M6"/>
    <mergeCell ref="N2:N6"/>
    <mergeCell ref="O2:P6"/>
    <mergeCell ref="F6:I6"/>
    <mergeCell ref="N22:O22"/>
    <mergeCell ref="N23:O23"/>
    <mergeCell ref="N24:O24"/>
    <mergeCell ref="N25:O25"/>
    <mergeCell ref="N26:O26"/>
    <mergeCell ref="N27:O27"/>
    <mergeCell ref="N28:O28"/>
    <mergeCell ref="N29:O29"/>
    <mergeCell ref="N30:O30"/>
    <mergeCell ref="N31:O31"/>
    <mergeCell ref="N32:O32"/>
    <mergeCell ref="N33:O33"/>
    <mergeCell ref="N34:O34"/>
    <mergeCell ref="N35:O35"/>
    <mergeCell ref="N36:O36"/>
    <mergeCell ref="N37:O37"/>
    <mergeCell ref="N38:O38"/>
    <mergeCell ref="N39:O39"/>
    <mergeCell ref="E44:F44"/>
    <mergeCell ref="E45:F45"/>
    <mergeCell ref="E42:F42"/>
    <mergeCell ref="E43:F43"/>
    <mergeCell ref="E40:F40"/>
    <mergeCell ref="E41:F41"/>
    <mergeCell ref="E39:F39"/>
    <mergeCell ref="E46:F46"/>
    <mergeCell ref="E47:F47"/>
    <mergeCell ref="E48:F48"/>
    <mergeCell ref="E49:F49"/>
    <mergeCell ref="E50:F50"/>
    <mergeCell ref="E56:F56"/>
    <mergeCell ref="E57:F57"/>
    <mergeCell ref="E58:F58"/>
    <mergeCell ref="E59:F59"/>
    <mergeCell ref="E51:F51"/>
    <mergeCell ref="E52:F52"/>
    <mergeCell ref="E53:F53"/>
    <mergeCell ref="E54:F54"/>
    <mergeCell ref="E55:F55"/>
  </mergeCells>
  <conditionalFormatting sqref="A15">
    <cfRule type="expression" dxfId="55" priority="9">
      <formula>M15 = "On Hold"</formula>
    </cfRule>
  </conditionalFormatting>
  <conditionalFormatting sqref="A17:A18">
    <cfRule type="expression" dxfId="54" priority="12">
      <formula>M17 = "On Hold"</formula>
    </cfRule>
  </conditionalFormatting>
  <conditionalFormatting sqref="B2:B5 J9:P18">
    <cfRule type="cellIs" dxfId="53" priority="10" operator="equal">
      <formula>"Done"</formula>
    </cfRule>
    <cfRule type="cellIs" dxfId="52" priority="11" operator="equal">
      <formula>"On Hold"</formula>
    </cfRule>
    <cfRule type="cellIs" dxfId="51" priority="13" operator="equal">
      <formula>"Ready for Review"</formula>
    </cfRule>
    <cfRule type="cellIs" dxfId="50" priority="14" operator="equal">
      <formula>"In Review"</formula>
    </cfRule>
  </conditionalFormatting>
  <conditionalFormatting sqref="M40:N43">
    <cfRule type="cellIs" dxfId="49" priority="1" operator="equal">
      <formula>"Done"</formula>
    </cfRule>
    <cfRule type="cellIs" dxfId="48" priority="2" operator="equal">
      <formula>"On Hold"</formula>
    </cfRule>
    <cfRule type="cellIs" dxfId="47" priority="3" operator="equal">
      <formula>"Ready for Review"</formula>
    </cfRule>
    <cfRule type="cellIs" dxfId="46" priority="4" operator="equal">
      <formula>"In Review"</formula>
    </cfRule>
  </conditionalFormatting>
  <conditionalFormatting sqref="M19:O39">
    <cfRule type="cellIs" dxfId="45" priority="5" operator="equal">
      <formula>"Done"</formula>
    </cfRule>
    <cfRule type="cellIs" dxfId="44" priority="6" operator="equal">
      <formula>"On Hold"</formula>
    </cfRule>
    <cfRule type="cellIs" dxfId="43" priority="7" operator="equal">
      <formula>"Ready for Review"</formula>
    </cfRule>
    <cfRule type="cellIs" dxfId="42" priority="8" operator="equal">
      <formula>"In Review"</formula>
    </cfRule>
  </conditionalFormatting>
  <dataValidations count="6">
    <dataValidation type="list" allowBlank="1" sqref="P9:P18" xr:uid="{113C2E0E-C730-44E1-9920-D69597D4A4C8}">
      <formula1>Versions</formula1>
    </dataValidation>
    <dataValidation type="list" allowBlank="1" sqref="N9:N18" xr:uid="{7B8944B6-495F-45ED-B7C7-27F686537C65}">
      <formula1>Categories</formula1>
    </dataValidation>
    <dataValidation type="list" allowBlank="1" sqref="B17:B18 B10 B15 B42:B43" xr:uid="{21DE6B54-F344-4677-AA80-D47E3AB683B7}">
      <formula1>Data_Types</formula1>
    </dataValidation>
    <dataValidation type="list" allowBlank="1" sqref="B3 M9:M18" xr:uid="{0150D231-84BF-4F5B-B55B-45BAA75F09E8}">
      <formula1>Statuses</formula1>
    </dataValidation>
    <dataValidation type="list" allowBlank="1" sqref="B4:B5" xr:uid="{6B993A12-83C7-4EFC-A89F-029530E81540}">
      <formula1>ETL_Statuses</formula1>
    </dataValidation>
    <dataValidation type="list" allowBlank="1" showErrorMessage="1" sqref="B2" xr:uid="{BB5F8BCF-12AE-46CA-956A-644D4286FC59}">
      <formula1>STT_Statuses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81ECC-E1F1-49EC-B4CF-FC250D47D275}">
  <sheetPr>
    <tabColor theme="4" tint="0.59999389629810485"/>
    <outlinePr summaryBelow="0" summaryRight="0"/>
  </sheetPr>
  <dimension ref="A1:R103"/>
  <sheetViews>
    <sheetView tabSelected="1" zoomScale="110" zoomScaleNormal="110" workbookViewId="0">
      <pane xSplit="1" ySplit="8" topLeftCell="M26" activePane="bottomRight" state="frozen"/>
      <selection pane="bottomRight" activeCell="A35" sqref="A35:U35"/>
      <selection pane="bottomLeft" activeCell="A9" sqref="A9"/>
      <selection pane="topRight" activeCell="B1" sqref="B1"/>
    </sheetView>
  </sheetViews>
  <sheetFormatPr defaultColWidth="12.7109375" defaultRowHeight="15" customHeight="1" outlineLevelRow="1" outlineLevelCol="1"/>
  <cols>
    <col min="1" max="1" width="27" style="18" customWidth="1"/>
    <col min="2" max="2" width="11.85546875" style="18" customWidth="1" outlineLevel="1"/>
    <col min="3" max="3" width="7" style="18" customWidth="1" outlineLevel="1"/>
    <col min="4" max="4" width="28" style="18" customWidth="1" outlineLevel="1"/>
    <col min="5" max="5" width="2.28515625" style="21" customWidth="1"/>
    <col min="6" max="6" width="12.7109375" style="44" customWidth="1" outlineLevel="1"/>
    <col min="7" max="7" width="43.7109375" style="27" customWidth="1" outlineLevel="1"/>
    <col min="8" max="8" width="30.7109375" style="18" customWidth="1" outlineLevel="1"/>
    <col min="9" max="9" width="33.140625" style="18" customWidth="1" outlineLevel="1"/>
    <col min="10" max="10" width="5.85546875" hidden="1" customWidth="1" outlineLevel="1"/>
    <col min="11" max="11" width="5" hidden="1" customWidth="1" outlineLevel="1"/>
    <col min="12" max="12" width="11.7109375" hidden="1" customWidth="1" outlineLevel="1"/>
    <col min="13" max="13" width="2.28515625" customWidth="1"/>
    <col min="14" max="14" width="2.28515625" customWidth="1" collapsed="1"/>
    <col min="15" max="15" width="10.7109375" hidden="1" customWidth="1" outlineLevel="1"/>
    <col min="16" max="16" width="11" hidden="1" customWidth="1" outlineLevel="1"/>
    <col min="17" max="18" width="47.7109375" customWidth="1"/>
  </cols>
  <sheetData>
    <row r="1" spans="1:18" ht="5.25" customHeight="1" outlineLevel="1">
      <c r="A1" s="28"/>
      <c r="B1" s="109"/>
      <c r="C1" s="106"/>
      <c r="D1" s="106"/>
      <c r="E1" s="110"/>
      <c r="F1" s="106"/>
      <c r="G1" s="106"/>
      <c r="H1" s="106"/>
      <c r="I1" s="106"/>
      <c r="J1" s="2"/>
      <c r="K1" s="2"/>
      <c r="L1" s="2"/>
      <c r="M1" s="2"/>
      <c r="N1" s="111"/>
      <c r="O1" s="124"/>
      <c r="P1" s="124"/>
    </row>
    <row r="2" spans="1:18" ht="15.75" customHeight="1" outlineLevel="1">
      <c r="A2" s="29" t="s">
        <v>0</v>
      </c>
      <c r="B2" s="29" t="s">
        <v>1</v>
      </c>
      <c r="C2" s="30"/>
      <c r="D2" s="31" t="s">
        <v>2</v>
      </c>
      <c r="E2" s="112" t="s">
        <v>3</v>
      </c>
      <c r="F2" s="115" t="s">
        <v>4</v>
      </c>
      <c r="G2" s="116"/>
      <c r="H2" s="19" t="s">
        <v>5</v>
      </c>
      <c r="I2" s="20"/>
      <c r="J2" s="117"/>
      <c r="K2" s="125"/>
      <c r="L2" s="126"/>
      <c r="M2" s="118" t="s">
        <v>6</v>
      </c>
      <c r="N2" s="119" t="s">
        <v>7</v>
      </c>
      <c r="O2" s="120"/>
      <c r="P2" s="126"/>
      <c r="Q2" s="127" t="s">
        <v>8</v>
      </c>
      <c r="R2" s="128" t="s">
        <v>9</v>
      </c>
    </row>
    <row r="3" spans="1:18" ht="15.75" customHeight="1" outlineLevel="1">
      <c r="A3" s="29" t="s">
        <v>10</v>
      </c>
      <c r="B3" s="29"/>
      <c r="C3" s="108"/>
      <c r="D3" s="121"/>
      <c r="E3" s="113"/>
      <c r="F3" s="103" t="s">
        <v>293</v>
      </c>
      <c r="G3" s="104"/>
      <c r="H3" s="19" t="s">
        <v>13</v>
      </c>
      <c r="I3" s="20"/>
      <c r="J3" s="129"/>
      <c r="K3" s="128"/>
      <c r="L3" s="130"/>
      <c r="M3" s="131"/>
      <c r="N3" s="131"/>
      <c r="O3" s="129"/>
      <c r="P3" s="130"/>
      <c r="Q3" s="127"/>
      <c r="R3" s="128"/>
    </row>
    <row r="4" spans="1:18" ht="15.75" customHeight="1" outlineLevel="1">
      <c r="A4" s="29" t="s">
        <v>14</v>
      </c>
      <c r="B4" s="29"/>
      <c r="C4" s="108"/>
      <c r="D4" s="113"/>
      <c r="E4" s="113"/>
      <c r="F4" s="115" t="s">
        <v>15</v>
      </c>
      <c r="G4" s="116"/>
      <c r="H4" s="19" t="s">
        <v>16</v>
      </c>
      <c r="I4" s="20"/>
      <c r="J4" s="129"/>
      <c r="K4" s="128"/>
      <c r="L4" s="130"/>
      <c r="M4" s="131"/>
      <c r="N4" s="131"/>
      <c r="O4" s="129"/>
      <c r="P4" s="130"/>
      <c r="Q4" s="127"/>
      <c r="R4" s="128"/>
    </row>
    <row r="5" spans="1:18" ht="15.75" customHeight="1" outlineLevel="1">
      <c r="A5" s="29" t="s">
        <v>17</v>
      </c>
      <c r="B5" s="29"/>
      <c r="C5" s="108"/>
      <c r="D5" s="114"/>
      <c r="E5" s="113"/>
      <c r="F5" s="103" t="s">
        <v>281</v>
      </c>
      <c r="G5" s="104"/>
      <c r="H5" s="19" t="s">
        <v>19</v>
      </c>
      <c r="I5" s="20"/>
      <c r="J5" s="129"/>
      <c r="K5" s="128"/>
      <c r="L5" s="130"/>
      <c r="M5" s="131"/>
      <c r="N5" s="131"/>
      <c r="O5" s="129"/>
      <c r="P5" s="130"/>
      <c r="Q5" s="132"/>
      <c r="R5" s="133"/>
    </row>
    <row r="6" spans="1:18" ht="15.75" customHeight="1" outlineLevel="1">
      <c r="A6" s="21"/>
      <c r="B6" s="21"/>
      <c r="C6" s="32" t="e" vm="1">
        <v>#VALUE!</v>
      </c>
      <c r="D6" s="21"/>
      <c r="E6" s="114"/>
      <c r="F6" s="108"/>
      <c r="G6" s="108"/>
      <c r="H6" s="108"/>
      <c r="I6" s="108"/>
      <c r="J6" s="134"/>
      <c r="K6" s="135"/>
      <c r="L6" s="136"/>
      <c r="M6" s="137"/>
      <c r="N6" s="137"/>
      <c r="O6" s="134"/>
      <c r="P6" s="136"/>
      <c r="Q6" s="10" t="s">
        <v>20</v>
      </c>
      <c r="R6" s="10" t="s">
        <v>20</v>
      </c>
    </row>
    <row r="7" spans="1:18" ht="15.75" customHeight="1">
      <c r="A7" s="33" t="s">
        <v>21</v>
      </c>
      <c r="B7" s="98" t="s">
        <v>21</v>
      </c>
      <c r="C7" s="99"/>
      <c r="D7" s="99"/>
      <c r="E7" s="100" t="s">
        <v>22</v>
      </c>
      <c r="F7" s="99"/>
      <c r="G7" s="99"/>
      <c r="H7" s="99"/>
      <c r="I7" s="101"/>
      <c r="J7" s="138"/>
      <c r="K7" s="138"/>
      <c r="L7" s="139"/>
      <c r="M7" s="53" t="s">
        <v>23</v>
      </c>
      <c r="N7" s="102" t="s">
        <v>24</v>
      </c>
      <c r="O7" s="138"/>
      <c r="P7" s="139"/>
      <c r="Q7" s="62"/>
      <c r="R7" s="11"/>
    </row>
    <row r="8" spans="1:18" ht="15.75" customHeight="1">
      <c r="A8" s="34" t="s">
        <v>26</v>
      </c>
      <c r="B8" s="34" t="s">
        <v>27</v>
      </c>
      <c r="C8" s="34" t="s">
        <v>28</v>
      </c>
      <c r="D8" s="35" t="s">
        <v>29</v>
      </c>
      <c r="E8" s="94" t="s">
        <v>30</v>
      </c>
      <c r="F8" s="101"/>
      <c r="G8" s="17" t="s">
        <v>31</v>
      </c>
      <c r="H8" s="22" t="s">
        <v>32</v>
      </c>
      <c r="I8" s="23" t="s">
        <v>33</v>
      </c>
      <c r="J8" s="50"/>
      <c r="K8" s="12" t="s">
        <v>31</v>
      </c>
      <c r="L8" s="12" t="s">
        <v>26</v>
      </c>
      <c r="M8" s="52" t="s">
        <v>34</v>
      </c>
      <c r="N8" s="140" t="s">
        <v>35</v>
      </c>
      <c r="O8" s="139"/>
      <c r="P8" s="13" t="s">
        <v>36</v>
      </c>
      <c r="Q8" s="14" t="str">
        <f>"("</f>
        <v>(</v>
      </c>
      <c r="R8" s="14" t="str">
        <f>"("</f>
        <v>(</v>
      </c>
    </row>
    <row r="9" spans="1:18" ht="15.75" customHeight="1" outlineLevel="1">
      <c r="A9" s="16" t="s">
        <v>424</v>
      </c>
      <c r="B9" s="16" t="s">
        <v>38</v>
      </c>
      <c r="C9" s="16" t="e" vm="1">
        <v>#VALUE!</v>
      </c>
      <c r="D9" s="16" t="s">
        <v>425</v>
      </c>
      <c r="E9" s="122" t="s">
        <v>40</v>
      </c>
      <c r="F9" s="123"/>
      <c r="G9" s="17" t="s">
        <v>426</v>
      </c>
      <c r="H9" s="17" t="s">
        <v>424</v>
      </c>
      <c r="I9" s="23"/>
      <c r="J9" s="41"/>
      <c r="K9" s="12"/>
      <c r="L9" s="12"/>
      <c r="M9" s="49"/>
      <c r="N9" s="140"/>
      <c r="O9" s="141"/>
      <c r="P9" s="13"/>
      <c r="Q9" s="14"/>
      <c r="R9" s="14"/>
    </row>
    <row r="10" spans="1:18" ht="15.75" customHeight="1" outlineLevel="1">
      <c r="A10" s="16" t="s">
        <v>427</v>
      </c>
      <c r="B10" s="16" t="s">
        <v>38</v>
      </c>
      <c r="C10" s="16" t="e" vm="1">
        <v>#VALUE!</v>
      </c>
      <c r="D10" s="16" t="s">
        <v>428</v>
      </c>
      <c r="E10" s="122" t="s">
        <v>40</v>
      </c>
      <c r="F10" s="123"/>
      <c r="G10" s="17" t="s">
        <v>426</v>
      </c>
      <c r="H10" s="17" t="s">
        <v>427</v>
      </c>
      <c r="I10" s="23"/>
      <c r="J10" s="41"/>
      <c r="K10" s="12"/>
      <c r="L10" s="12"/>
      <c r="M10" s="49"/>
      <c r="N10" s="42"/>
      <c r="O10" s="43"/>
      <c r="P10" s="13"/>
      <c r="Q10" s="14"/>
      <c r="R10" s="14"/>
    </row>
    <row r="11" spans="1:18" ht="15.75" customHeight="1" outlineLevel="1">
      <c r="A11" s="16" t="s">
        <v>429</v>
      </c>
      <c r="B11" s="16" t="s">
        <v>38</v>
      </c>
      <c r="C11" s="16"/>
      <c r="D11" s="16" t="s">
        <v>430</v>
      </c>
      <c r="E11" s="122" t="s">
        <v>40</v>
      </c>
      <c r="F11" s="123"/>
      <c r="G11" s="17" t="s">
        <v>426</v>
      </c>
      <c r="H11" s="17" t="s">
        <v>429</v>
      </c>
      <c r="I11" s="23"/>
      <c r="J11" s="41"/>
      <c r="K11" s="12"/>
      <c r="L11" s="12"/>
      <c r="M11" s="49"/>
      <c r="N11" s="140"/>
      <c r="O11" s="141"/>
      <c r="P11" s="13"/>
      <c r="Q11" s="14"/>
      <c r="R11" s="14"/>
    </row>
    <row r="12" spans="1:18" ht="15.75" customHeight="1" outlineLevel="1">
      <c r="A12" s="16" t="s">
        <v>431</v>
      </c>
      <c r="B12" s="16" t="s">
        <v>38</v>
      </c>
      <c r="C12" s="16"/>
      <c r="D12" s="16" t="s">
        <v>432</v>
      </c>
      <c r="E12" s="122" t="s">
        <v>40</v>
      </c>
      <c r="F12" s="123"/>
      <c r="G12" s="17" t="s">
        <v>426</v>
      </c>
      <c r="H12" s="17" t="s">
        <v>431</v>
      </c>
      <c r="I12" s="23"/>
      <c r="J12" s="41"/>
      <c r="K12" s="12"/>
      <c r="L12" s="12"/>
      <c r="M12" s="49"/>
      <c r="N12" s="42"/>
      <c r="O12" s="43"/>
      <c r="P12" s="13"/>
      <c r="Q12" s="14"/>
      <c r="R12" s="14"/>
    </row>
    <row r="13" spans="1:18" ht="15.75" customHeight="1" outlineLevel="1">
      <c r="A13" s="16" t="s">
        <v>433</v>
      </c>
      <c r="B13" s="16" t="s">
        <v>38</v>
      </c>
      <c r="C13" s="16"/>
      <c r="D13" s="16" t="s">
        <v>434</v>
      </c>
      <c r="E13" s="122" t="s">
        <v>40</v>
      </c>
      <c r="F13" s="123"/>
      <c r="G13" s="17" t="s">
        <v>426</v>
      </c>
      <c r="H13" s="17" t="s">
        <v>433</v>
      </c>
      <c r="I13" s="23"/>
      <c r="J13" s="41"/>
      <c r="K13" s="12"/>
      <c r="L13" s="12"/>
      <c r="M13" s="49"/>
      <c r="N13" s="42"/>
      <c r="O13" s="43"/>
      <c r="P13" s="13"/>
      <c r="Q13" s="14"/>
      <c r="R13" s="14"/>
    </row>
    <row r="14" spans="1:18" ht="15.75" customHeight="1" outlineLevel="1">
      <c r="A14" s="16" t="s">
        <v>435</v>
      </c>
      <c r="B14" s="16" t="s">
        <v>38</v>
      </c>
      <c r="C14" s="16"/>
      <c r="D14" s="16" t="s">
        <v>436</v>
      </c>
      <c r="E14" s="122" t="s">
        <v>40</v>
      </c>
      <c r="F14" s="123"/>
      <c r="G14" s="17" t="s">
        <v>426</v>
      </c>
      <c r="H14" s="17" t="s">
        <v>435</v>
      </c>
      <c r="I14" s="23"/>
      <c r="J14" s="41"/>
      <c r="K14" s="12"/>
      <c r="L14" s="12"/>
      <c r="M14" s="49"/>
      <c r="N14" s="42"/>
      <c r="O14" s="43"/>
      <c r="P14" s="13"/>
      <c r="Q14" s="14"/>
      <c r="R14" s="14"/>
    </row>
    <row r="15" spans="1:18" ht="15.75" customHeight="1" outlineLevel="1">
      <c r="A15" s="16" t="s">
        <v>437</v>
      </c>
      <c r="B15" s="16" t="s">
        <v>38</v>
      </c>
      <c r="C15" s="16"/>
      <c r="D15" s="16" t="s">
        <v>438</v>
      </c>
      <c r="E15" s="122" t="s">
        <v>40</v>
      </c>
      <c r="F15" s="123"/>
      <c r="G15" s="17" t="s">
        <v>426</v>
      </c>
      <c r="H15" s="17" t="s">
        <v>437</v>
      </c>
      <c r="I15" s="23"/>
      <c r="J15" s="41"/>
      <c r="K15" s="12"/>
      <c r="L15" s="12"/>
      <c r="M15" s="49"/>
      <c r="N15" s="42"/>
      <c r="O15" s="43"/>
      <c r="P15" s="13"/>
      <c r="Q15" s="14"/>
      <c r="R15" s="14"/>
    </row>
    <row r="16" spans="1:18" ht="15.75" customHeight="1" outlineLevel="1">
      <c r="A16" s="16" t="s">
        <v>439</v>
      </c>
      <c r="B16" s="16" t="s">
        <v>440</v>
      </c>
      <c r="C16" s="16"/>
      <c r="D16" s="16" t="s">
        <v>441</v>
      </c>
      <c r="E16" s="122" t="s">
        <v>40</v>
      </c>
      <c r="F16" s="123"/>
      <c r="G16" s="17" t="s">
        <v>426</v>
      </c>
      <c r="H16" s="17" t="s">
        <v>439</v>
      </c>
      <c r="I16" s="23"/>
      <c r="J16" s="41"/>
      <c r="K16" s="12"/>
      <c r="L16" s="12"/>
      <c r="M16" s="49"/>
      <c r="N16" s="42"/>
      <c r="O16" s="43"/>
      <c r="P16" s="13"/>
      <c r="Q16" s="14"/>
      <c r="R16" s="14"/>
    </row>
    <row r="17" spans="1:18" ht="15.75" customHeight="1" outlineLevel="1">
      <c r="A17" s="16" t="s">
        <v>442</v>
      </c>
      <c r="B17" s="16" t="s">
        <v>38</v>
      </c>
      <c r="C17" s="16"/>
      <c r="D17" s="16" t="s">
        <v>443</v>
      </c>
      <c r="E17" s="122" t="s">
        <v>40</v>
      </c>
      <c r="F17" s="123"/>
      <c r="G17" s="17" t="s">
        <v>426</v>
      </c>
      <c r="H17" s="17" t="s">
        <v>442</v>
      </c>
      <c r="I17" s="23"/>
      <c r="J17" s="41"/>
      <c r="K17" s="12"/>
      <c r="L17" s="12"/>
      <c r="M17" s="45"/>
      <c r="N17" s="140"/>
      <c r="O17" s="141"/>
      <c r="P17" s="13"/>
      <c r="Q17" s="14"/>
      <c r="R17" s="14"/>
    </row>
    <row r="18" spans="1:18" ht="15.75" customHeight="1" outlineLevel="1">
      <c r="A18" s="16" t="s">
        <v>444</v>
      </c>
      <c r="B18" s="16" t="s">
        <v>38</v>
      </c>
      <c r="C18" s="16"/>
      <c r="D18" s="16" t="s">
        <v>445</v>
      </c>
      <c r="E18" s="122" t="s">
        <v>40</v>
      </c>
      <c r="F18" s="123"/>
      <c r="G18" s="17" t="s">
        <v>426</v>
      </c>
      <c r="H18" s="17" t="s">
        <v>444</v>
      </c>
      <c r="I18" s="24"/>
      <c r="J18" s="51"/>
      <c r="K18" s="3"/>
      <c r="L18" s="3"/>
      <c r="M18" s="49"/>
      <c r="N18" s="142"/>
      <c r="O18" s="143"/>
      <c r="P18" s="4"/>
      <c r="Q18" s="14"/>
      <c r="R18" s="14"/>
    </row>
    <row r="19" spans="1:18" ht="15.75" customHeight="1">
      <c r="A19" s="16" t="s">
        <v>446</v>
      </c>
      <c r="B19" s="16" t="s">
        <v>38</v>
      </c>
      <c r="C19" s="16"/>
      <c r="D19" s="16" t="s">
        <v>447</v>
      </c>
      <c r="E19" s="122" t="s">
        <v>40</v>
      </c>
      <c r="F19" s="123"/>
      <c r="G19" s="17" t="s">
        <v>426</v>
      </c>
      <c r="H19" s="17" t="s">
        <v>446</v>
      </c>
      <c r="I19" s="24"/>
      <c r="M19" s="49"/>
      <c r="N19" s="142"/>
      <c r="O19" s="143"/>
    </row>
    <row r="20" spans="1:18" ht="15.75" customHeight="1">
      <c r="A20" s="16" t="s">
        <v>448</v>
      </c>
      <c r="B20" s="16" t="s">
        <v>440</v>
      </c>
      <c r="C20" s="16"/>
      <c r="D20" s="16" t="s">
        <v>449</v>
      </c>
      <c r="E20" s="122" t="s">
        <v>40</v>
      </c>
      <c r="F20" s="123"/>
      <c r="G20" s="17" t="s">
        <v>426</v>
      </c>
      <c r="H20" s="17" t="s">
        <v>448</v>
      </c>
      <c r="I20" s="24"/>
      <c r="M20" s="49"/>
      <c r="N20" s="142"/>
      <c r="O20" s="143"/>
    </row>
    <row r="21" spans="1:18" ht="15.75" customHeight="1">
      <c r="A21" s="16" t="s">
        <v>450</v>
      </c>
      <c r="B21" s="16" t="s">
        <v>420</v>
      </c>
      <c r="C21" s="16"/>
      <c r="D21" s="16" t="s">
        <v>451</v>
      </c>
      <c r="E21" s="122" t="s">
        <v>40</v>
      </c>
      <c r="F21" s="123"/>
      <c r="G21" s="17" t="s">
        <v>426</v>
      </c>
      <c r="H21" s="17" t="s">
        <v>450</v>
      </c>
      <c r="I21" s="24"/>
      <c r="M21" s="49"/>
      <c r="N21" s="142"/>
      <c r="O21" s="143"/>
    </row>
    <row r="22" spans="1:18" ht="15.75" customHeight="1">
      <c r="A22" s="16" t="s">
        <v>452</v>
      </c>
      <c r="B22" s="16" t="s">
        <v>420</v>
      </c>
      <c r="C22" s="16"/>
      <c r="D22" s="16" t="s">
        <v>453</v>
      </c>
      <c r="E22" s="122" t="s">
        <v>40</v>
      </c>
      <c r="F22" s="123"/>
      <c r="G22" s="17" t="s">
        <v>426</v>
      </c>
      <c r="H22" s="17" t="s">
        <v>452</v>
      </c>
      <c r="I22" s="24"/>
      <c r="M22" s="49"/>
      <c r="N22" s="142"/>
      <c r="O22" s="143"/>
    </row>
    <row r="23" spans="1:18" ht="15.75" customHeight="1">
      <c r="A23" s="16" t="s">
        <v>454</v>
      </c>
      <c r="B23" s="16" t="s">
        <v>45</v>
      </c>
      <c r="C23" s="16"/>
      <c r="D23" s="16" t="s">
        <v>455</v>
      </c>
      <c r="E23" s="122" t="s">
        <v>40</v>
      </c>
      <c r="F23" s="123"/>
      <c r="G23" s="17" t="s">
        <v>426</v>
      </c>
      <c r="H23" s="17" t="s">
        <v>454</v>
      </c>
      <c r="I23" s="24"/>
      <c r="M23" s="49"/>
      <c r="N23" s="142"/>
      <c r="O23" s="143"/>
    </row>
    <row r="24" spans="1:18" ht="15.75" customHeight="1">
      <c r="A24" s="16" t="s">
        <v>456</v>
      </c>
      <c r="B24" s="16" t="s">
        <v>50</v>
      </c>
      <c r="C24" s="16"/>
      <c r="D24" s="16" t="s">
        <v>457</v>
      </c>
      <c r="E24" s="122" t="s">
        <v>40</v>
      </c>
      <c r="F24" s="123"/>
      <c r="G24" s="17" t="s">
        <v>426</v>
      </c>
      <c r="H24" s="17" t="s">
        <v>456</v>
      </c>
      <c r="I24" s="24"/>
      <c r="M24" s="49"/>
      <c r="N24" s="142"/>
      <c r="O24" s="143"/>
    </row>
    <row r="25" spans="1:18" ht="15.75" customHeight="1">
      <c r="A25" s="16" t="s">
        <v>458</v>
      </c>
      <c r="B25" s="16" t="s">
        <v>72</v>
      </c>
      <c r="C25" s="16"/>
      <c r="D25" s="16" t="s">
        <v>459</v>
      </c>
      <c r="E25" s="122" t="s">
        <v>40</v>
      </c>
      <c r="F25" s="123"/>
      <c r="G25" s="17" t="s">
        <v>426</v>
      </c>
      <c r="H25" s="17" t="s">
        <v>458</v>
      </c>
      <c r="I25" s="24"/>
      <c r="M25" s="49"/>
      <c r="N25" s="142"/>
      <c r="O25" s="143"/>
    </row>
    <row r="26" spans="1:18" ht="15.75" customHeight="1">
      <c r="A26" s="16" t="s">
        <v>460</v>
      </c>
      <c r="B26" s="16" t="s">
        <v>440</v>
      </c>
      <c r="C26" s="16"/>
      <c r="D26" s="16" t="s">
        <v>461</v>
      </c>
      <c r="E26" s="122" t="s">
        <v>40</v>
      </c>
      <c r="F26" s="123"/>
      <c r="G26" s="17" t="s">
        <v>426</v>
      </c>
      <c r="H26" s="17" t="s">
        <v>460</v>
      </c>
      <c r="I26" s="24"/>
      <c r="M26" s="49"/>
      <c r="N26" s="142"/>
      <c r="O26" s="143"/>
    </row>
    <row r="27" spans="1:18" ht="15.75" customHeight="1">
      <c r="A27" s="16" t="s">
        <v>462</v>
      </c>
      <c r="B27" s="16" t="s">
        <v>440</v>
      </c>
      <c r="C27" s="16"/>
      <c r="D27" s="16" t="s">
        <v>463</v>
      </c>
      <c r="E27" s="122" t="s">
        <v>40</v>
      </c>
      <c r="F27" s="123"/>
      <c r="G27" s="17" t="s">
        <v>426</v>
      </c>
      <c r="H27" s="17" t="s">
        <v>462</v>
      </c>
      <c r="I27" s="24"/>
      <c r="M27" s="49"/>
      <c r="N27" s="142"/>
      <c r="O27" s="143"/>
    </row>
    <row r="28" spans="1:18" ht="15.75" customHeight="1">
      <c r="A28" s="16" t="s">
        <v>464</v>
      </c>
      <c r="B28" s="16" t="s">
        <v>38</v>
      </c>
      <c r="C28" s="16"/>
      <c r="D28" s="16" t="s">
        <v>465</v>
      </c>
      <c r="E28" s="122" t="s">
        <v>40</v>
      </c>
      <c r="F28" s="123"/>
      <c r="G28" s="17" t="s">
        <v>426</v>
      </c>
      <c r="H28" s="17" t="s">
        <v>464</v>
      </c>
      <c r="I28" s="24"/>
      <c r="M28" s="49"/>
      <c r="N28" s="142"/>
      <c r="O28" s="143"/>
    </row>
    <row r="29" spans="1:18" ht="15.75" customHeight="1">
      <c r="A29" s="16" t="s">
        <v>466</v>
      </c>
      <c r="B29" s="16" t="s">
        <v>50</v>
      </c>
      <c r="C29" s="16"/>
      <c r="D29" s="16" t="s">
        <v>467</v>
      </c>
      <c r="E29" s="122" t="s">
        <v>40</v>
      </c>
      <c r="F29" s="123"/>
      <c r="G29" s="17" t="s">
        <v>426</v>
      </c>
      <c r="H29" s="17" t="s">
        <v>466</v>
      </c>
      <c r="I29" s="24"/>
      <c r="M29" s="49"/>
      <c r="N29" s="142"/>
      <c r="O29" s="143"/>
    </row>
    <row r="30" spans="1:18" ht="15.75" customHeight="1">
      <c r="A30" s="16" t="s">
        <v>468</v>
      </c>
      <c r="B30" s="16" t="s">
        <v>440</v>
      </c>
      <c r="C30" s="16"/>
      <c r="D30" s="16" t="s">
        <v>469</v>
      </c>
      <c r="E30" s="122" t="s">
        <v>40</v>
      </c>
      <c r="F30" s="123"/>
      <c r="G30" s="17" t="s">
        <v>426</v>
      </c>
      <c r="H30" s="17" t="s">
        <v>468</v>
      </c>
      <c r="I30" s="24"/>
      <c r="M30" s="49"/>
      <c r="N30" s="142"/>
      <c r="O30" s="143"/>
    </row>
    <row r="31" spans="1:18" ht="15.75" customHeight="1">
      <c r="A31" s="16" t="s">
        <v>470</v>
      </c>
      <c r="B31" s="16" t="s">
        <v>38</v>
      </c>
      <c r="C31" s="16"/>
      <c r="D31" s="16" t="s">
        <v>471</v>
      </c>
      <c r="E31" s="122" t="s">
        <v>40</v>
      </c>
      <c r="F31" s="123"/>
      <c r="G31" s="17" t="s">
        <v>426</v>
      </c>
      <c r="H31" s="17" t="s">
        <v>470</v>
      </c>
      <c r="I31" s="24"/>
      <c r="M31" s="49"/>
      <c r="N31" s="142"/>
      <c r="O31" s="143"/>
    </row>
    <row r="32" spans="1:18" s="18" customFormat="1" ht="15.75" customHeight="1">
      <c r="A32" s="16" t="s">
        <v>472</v>
      </c>
      <c r="B32" s="16" t="s">
        <v>38</v>
      </c>
      <c r="C32" s="16"/>
      <c r="D32" s="16" t="s">
        <v>473</v>
      </c>
      <c r="E32" s="122" t="s">
        <v>40</v>
      </c>
      <c r="F32" s="123"/>
      <c r="G32" s="17" t="s">
        <v>426</v>
      </c>
      <c r="H32" s="17" t="s">
        <v>472</v>
      </c>
      <c r="I32" s="24"/>
      <c r="J32"/>
      <c r="K32"/>
      <c r="L32"/>
      <c r="M32" s="49"/>
      <c r="N32" s="142"/>
      <c r="O32" s="143"/>
      <c r="P32"/>
      <c r="Q32"/>
      <c r="R32"/>
    </row>
    <row r="33" spans="1:18" s="18" customFormat="1" ht="15.75" customHeight="1">
      <c r="A33" s="16" t="s">
        <v>474</v>
      </c>
      <c r="B33" s="16" t="s">
        <v>38</v>
      </c>
      <c r="C33" s="16"/>
      <c r="D33" s="16" t="s">
        <v>475</v>
      </c>
      <c r="E33" s="122" t="s">
        <v>40</v>
      </c>
      <c r="F33" s="123"/>
      <c r="G33" s="17" t="s">
        <v>426</v>
      </c>
      <c r="H33" s="17" t="s">
        <v>474</v>
      </c>
      <c r="I33" s="24"/>
      <c r="J33"/>
      <c r="K33"/>
      <c r="L33"/>
      <c r="M33" s="49"/>
      <c r="N33" s="142"/>
      <c r="O33" s="143"/>
      <c r="P33"/>
      <c r="Q33"/>
      <c r="R33"/>
    </row>
    <row r="34" spans="1:18" s="18" customFormat="1" ht="15.75" customHeight="1">
      <c r="A34" s="16" t="s">
        <v>476</v>
      </c>
      <c r="B34" s="16" t="s">
        <v>420</v>
      </c>
      <c r="C34" s="16"/>
      <c r="D34" s="16" t="s">
        <v>477</v>
      </c>
      <c r="E34" s="122" t="s">
        <v>40</v>
      </c>
      <c r="F34" s="123"/>
      <c r="G34" s="17" t="s">
        <v>426</v>
      </c>
      <c r="H34" s="17" t="s">
        <v>476</v>
      </c>
      <c r="I34" s="24"/>
      <c r="J34"/>
      <c r="K34"/>
      <c r="L34"/>
      <c r="M34" s="49"/>
      <c r="N34" s="142"/>
      <c r="O34" s="143"/>
      <c r="P34"/>
      <c r="Q34"/>
      <c r="R34"/>
    </row>
    <row r="35" spans="1:18" s="18" customFormat="1" ht="15.75" customHeight="1">
      <c r="E35" s="21"/>
      <c r="F35" s="44"/>
      <c r="G35" s="27"/>
      <c r="J35"/>
      <c r="K35"/>
      <c r="L35"/>
      <c r="M35"/>
      <c r="N35"/>
      <c r="O35"/>
      <c r="P35"/>
      <c r="Q35"/>
      <c r="R35"/>
    </row>
    <row r="36" spans="1:18" s="18" customFormat="1" ht="15.75" customHeight="1">
      <c r="E36" s="21"/>
      <c r="F36" s="44"/>
      <c r="G36" s="27"/>
      <c r="J36"/>
      <c r="K36"/>
      <c r="L36"/>
      <c r="M36"/>
      <c r="N36"/>
      <c r="O36"/>
      <c r="P36"/>
      <c r="Q36"/>
      <c r="R36"/>
    </row>
    <row r="37" spans="1:18" s="18" customFormat="1" ht="15.75" customHeight="1">
      <c r="E37" s="21"/>
      <c r="F37" s="44"/>
      <c r="G37" s="27"/>
      <c r="J37"/>
      <c r="K37"/>
      <c r="L37"/>
      <c r="M37"/>
      <c r="N37"/>
      <c r="O37"/>
      <c r="P37"/>
      <c r="Q37"/>
      <c r="R37"/>
    </row>
    <row r="38" spans="1:18" s="18" customFormat="1" ht="15.75" customHeight="1">
      <c r="E38" s="21"/>
      <c r="F38" s="44"/>
      <c r="G38" s="27"/>
      <c r="J38"/>
      <c r="K38"/>
      <c r="L38"/>
      <c r="M38"/>
      <c r="N38"/>
      <c r="O38"/>
      <c r="P38"/>
      <c r="Q38"/>
      <c r="R38"/>
    </row>
    <row r="39" spans="1:18" s="18" customFormat="1" ht="15.75" customHeight="1">
      <c r="E39" s="21"/>
      <c r="F39" s="44"/>
      <c r="G39" s="27"/>
      <c r="J39"/>
      <c r="K39"/>
      <c r="L39"/>
      <c r="M39"/>
      <c r="N39"/>
      <c r="O39"/>
      <c r="P39"/>
      <c r="Q39"/>
      <c r="R39"/>
    </row>
    <row r="40" spans="1:18" s="18" customFormat="1" ht="15.75" customHeight="1">
      <c r="E40" s="21"/>
      <c r="F40" s="44"/>
      <c r="G40" s="27"/>
      <c r="J40"/>
      <c r="K40"/>
      <c r="L40"/>
      <c r="M40"/>
      <c r="N40"/>
      <c r="O40"/>
      <c r="P40"/>
      <c r="Q40"/>
      <c r="R40"/>
    </row>
    <row r="41" spans="1:18" s="18" customFormat="1" ht="15.75" customHeight="1">
      <c r="E41" s="21"/>
      <c r="F41" s="44"/>
      <c r="G41" s="27"/>
      <c r="J41"/>
      <c r="K41"/>
      <c r="L41"/>
      <c r="M41"/>
      <c r="N41"/>
      <c r="O41"/>
      <c r="P41"/>
      <c r="Q41"/>
      <c r="R41"/>
    </row>
    <row r="42" spans="1:18" s="18" customFormat="1" ht="15.75" customHeight="1">
      <c r="E42" s="21"/>
      <c r="F42" s="44"/>
      <c r="G42" s="27"/>
      <c r="J42"/>
      <c r="K42"/>
      <c r="L42"/>
      <c r="M42"/>
      <c r="N42"/>
      <c r="O42"/>
      <c r="P42"/>
      <c r="Q42"/>
      <c r="R42"/>
    </row>
    <row r="43" spans="1:18" s="18" customFormat="1" ht="15.75" customHeight="1">
      <c r="E43" s="21"/>
      <c r="F43" s="44"/>
      <c r="G43" s="27"/>
      <c r="J43"/>
      <c r="K43"/>
      <c r="L43"/>
      <c r="M43"/>
      <c r="N43"/>
      <c r="O43"/>
      <c r="P43"/>
      <c r="Q43"/>
      <c r="R43"/>
    </row>
    <row r="44" spans="1:18" s="18" customFormat="1" ht="15.75" customHeight="1">
      <c r="E44" s="21"/>
      <c r="F44" s="44"/>
      <c r="G44" s="27"/>
      <c r="J44"/>
      <c r="K44"/>
      <c r="L44"/>
      <c r="M44"/>
      <c r="N44"/>
      <c r="O44"/>
      <c r="P44"/>
      <c r="Q44"/>
      <c r="R44"/>
    </row>
    <row r="45" spans="1:18" s="18" customFormat="1" ht="15.75" customHeight="1">
      <c r="E45" s="21"/>
      <c r="F45" s="44"/>
      <c r="G45" s="27"/>
      <c r="J45"/>
      <c r="K45"/>
      <c r="L45"/>
      <c r="M45"/>
      <c r="N45"/>
      <c r="O45"/>
      <c r="P45"/>
      <c r="Q45"/>
      <c r="R45"/>
    </row>
    <row r="46" spans="1:18" s="18" customFormat="1" ht="15.75" customHeight="1">
      <c r="E46" s="21"/>
      <c r="F46" s="44"/>
      <c r="G46" s="27"/>
      <c r="J46"/>
      <c r="K46"/>
      <c r="L46"/>
      <c r="M46"/>
      <c r="N46"/>
      <c r="O46"/>
      <c r="P46"/>
      <c r="Q46"/>
      <c r="R46"/>
    </row>
    <row r="47" spans="1:18" s="18" customFormat="1" ht="15.75" customHeight="1">
      <c r="E47" s="21"/>
      <c r="F47" s="44"/>
      <c r="G47" s="27"/>
      <c r="J47"/>
      <c r="K47"/>
      <c r="L47"/>
      <c r="M47"/>
      <c r="N47"/>
      <c r="O47"/>
      <c r="P47"/>
      <c r="Q47"/>
      <c r="R47"/>
    </row>
    <row r="48" spans="1:18" s="18" customFormat="1" ht="15.75" customHeight="1">
      <c r="E48" s="21"/>
      <c r="F48" s="44"/>
      <c r="G48" s="27"/>
      <c r="J48"/>
      <c r="K48"/>
      <c r="L48"/>
      <c r="M48"/>
      <c r="N48"/>
      <c r="O48"/>
      <c r="P48"/>
      <c r="Q48"/>
      <c r="R48"/>
    </row>
    <row r="49" spans="5:18" s="18" customFormat="1" ht="15.75" customHeight="1">
      <c r="E49" s="21"/>
      <c r="F49" s="44"/>
      <c r="G49" s="27"/>
      <c r="J49"/>
      <c r="K49"/>
      <c r="L49"/>
      <c r="M49"/>
      <c r="N49"/>
      <c r="O49"/>
      <c r="P49"/>
      <c r="Q49"/>
      <c r="R49"/>
    </row>
    <row r="50" spans="5:18" s="18" customFormat="1" ht="15.75" customHeight="1">
      <c r="E50" s="21"/>
      <c r="F50" s="44"/>
      <c r="G50" s="27"/>
      <c r="J50"/>
      <c r="K50"/>
      <c r="L50"/>
      <c r="M50"/>
      <c r="N50"/>
      <c r="O50"/>
      <c r="P50"/>
      <c r="Q50"/>
      <c r="R50"/>
    </row>
    <row r="51" spans="5:18" s="18" customFormat="1" ht="15.75" customHeight="1">
      <c r="E51" s="21"/>
      <c r="F51" s="44"/>
      <c r="G51" s="27"/>
      <c r="J51"/>
      <c r="K51"/>
      <c r="L51"/>
      <c r="M51"/>
      <c r="N51"/>
      <c r="O51"/>
      <c r="P51"/>
      <c r="Q51"/>
      <c r="R51"/>
    </row>
    <row r="52" spans="5:18" s="18" customFormat="1" ht="15.75" customHeight="1">
      <c r="E52" s="21"/>
      <c r="F52" s="44"/>
      <c r="G52" s="27"/>
      <c r="J52"/>
      <c r="K52"/>
      <c r="L52"/>
      <c r="M52"/>
      <c r="N52"/>
      <c r="O52"/>
      <c r="P52"/>
      <c r="Q52"/>
      <c r="R52"/>
    </row>
    <row r="53" spans="5:18" s="18" customFormat="1" ht="15.75" customHeight="1">
      <c r="E53" s="21"/>
      <c r="F53" s="44"/>
      <c r="G53" s="27"/>
      <c r="J53"/>
      <c r="K53"/>
      <c r="L53"/>
      <c r="M53"/>
      <c r="N53"/>
      <c r="O53"/>
      <c r="P53"/>
      <c r="Q53"/>
      <c r="R53"/>
    </row>
    <row r="54" spans="5:18" s="18" customFormat="1" ht="15.75" customHeight="1">
      <c r="E54" s="21"/>
      <c r="F54" s="44"/>
      <c r="G54" s="27"/>
      <c r="J54"/>
      <c r="K54"/>
      <c r="L54"/>
      <c r="M54"/>
      <c r="N54"/>
      <c r="O54"/>
      <c r="P54"/>
      <c r="Q54"/>
      <c r="R54"/>
    </row>
    <row r="55" spans="5:18" s="18" customFormat="1" ht="15.75" customHeight="1">
      <c r="E55" s="21"/>
      <c r="F55" s="44"/>
      <c r="G55" s="27"/>
      <c r="J55"/>
      <c r="K55"/>
      <c r="L55"/>
      <c r="M55"/>
      <c r="N55"/>
      <c r="O55"/>
      <c r="P55"/>
      <c r="Q55"/>
      <c r="R55"/>
    </row>
    <row r="56" spans="5:18" s="18" customFormat="1" ht="15.75" customHeight="1">
      <c r="E56" s="21"/>
      <c r="F56" s="44"/>
      <c r="G56" s="27"/>
      <c r="J56"/>
      <c r="K56"/>
      <c r="L56"/>
      <c r="M56"/>
      <c r="N56"/>
      <c r="O56"/>
      <c r="P56"/>
      <c r="Q56"/>
      <c r="R56"/>
    </row>
    <row r="57" spans="5:18" s="18" customFormat="1" ht="15.75" customHeight="1">
      <c r="E57" s="21"/>
      <c r="F57" s="44"/>
      <c r="G57" s="27"/>
      <c r="J57"/>
      <c r="K57"/>
      <c r="L57"/>
      <c r="M57"/>
      <c r="N57"/>
      <c r="O57"/>
      <c r="P57"/>
      <c r="Q57"/>
      <c r="R57"/>
    </row>
    <row r="58" spans="5:18" s="18" customFormat="1" ht="15.75" customHeight="1">
      <c r="E58" s="21"/>
      <c r="F58" s="44"/>
      <c r="G58" s="27"/>
      <c r="J58"/>
      <c r="K58"/>
      <c r="L58"/>
      <c r="M58"/>
      <c r="N58"/>
      <c r="O58"/>
      <c r="P58"/>
      <c r="Q58"/>
      <c r="R58"/>
    </row>
    <row r="59" spans="5:18" s="18" customFormat="1" ht="15.75" customHeight="1">
      <c r="E59" s="21"/>
      <c r="F59" s="44"/>
      <c r="G59" s="27"/>
      <c r="J59"/>
      <c r="K59"/>
      <c r="L59"/>
      <c r="M59"/>
      <c r="N59"/>
      <c r="O59"/>
      <c r="P59"/>
      <c r="Q59"/>
      <c r="R59"/>
    </row>
    <row r="60" spans="5:18" s="18" customFormat="1" ht="15.75" customHeight="1">
      <c r="E60" s="21"/>
      <c r="F60" s="44"/>
      <c r="G60" s="27"/>
      <c r="J60"/>
      <c r="K60"/>
      <c r="L60"/>
      <c r="M60"/>
      <c r="N60"/>
      <c r="O60"/>
      <c r="P60"/>
      <c r="Q60"/>
      <c r="R60"/>
    </row>
    <row r="61" spans="5:18" s="18" customFormat="1" ht="15.75" customHeight="1">
      <c r="E61" s="21"/>
      <c r="F61" s="44"/>
      <c r="G61" s="27"/>
      <c r="J61"/>
      <c r="K61"/>
      <c r="L61"/>
      <c r="M61"/>
      <c r="N61"/>
      <c r="O61"/>
      <c r="P61"/>
      <c r="Q61"/>
      <c r="R61"/>
    </row>
    <row r="62" spans="5:18" s="18" customFormat="1" ht="15.75" customHeight="1">
      <c r="E62" s="21"/>
      <c r="F62" s="44"/>
      <c r="G62" s="27"/>
      <c r="J62"/>
      <c r="K62"/>
      <c r="L62"/>
      <c r="M62"/>
      <c r="N62"/>
      <c r="O62"/>
      <c r="P62"/>
      <c r="Q62"/>
      <c r="R62"/>
    </row>
    <row r="63" spans="5:18" s="18" customFormat="1" ht="15.75" customHeight="1">
      <c r="E63" s="21"/>
      <c r="F63" s="44"/>
      <c r="G63" s="27"/>
      <c r="J63"/>
      <c r="K63"/>
      <c r="L63"/>
      <c r="M63"/>
      <c r="N63"/>
      <c r="O63"/>
      <c r="P63"/>
      <c r="Q63"/>
      <c r="R63"/>
    </row>
    <row r="64" spans="5:18" s="18" customFormat="1" ht="15.75" customHeight="1">
      <c r="E64" s="21"/>
      <c r="F64" s="44"/>
      <c r="G64" s="27"/>
      <c r="J64"/>
      <c r="K64"/>
      <c r="L64"/>
      <c r="M64"/>
      <c r="N64"/>
      <c r="O64"/>
      <c r="P64"/>
      <c r="Q64"/>
      <c r="R64"/>
    </row>
    <row r="65" spans="5:18" s="18" customFormat="1" ht="15.75" customHeight="1">
      <c r="E65" s="21"/>
      <c r="F65" s="44"/>
      <c r="G65" s="27"/>
      <c r="J65"/>
      <c r="K65"/>
      <c r="L65"/>
      <c r="M65"/>
      <c r="N65"/>
      <c r="O65"/>
      <c r="P65"/>
      <c r="Q65"/>
      <c r="R65"/>
    </row>
    <row r="66" spans="5:18" s="18" customFormat="1" ht="15.75" customHeight="1">
      <c r="E66" s="21"/>
      <c r="F66" s="44"/>
      <c r="G66" s="27"/>
      <c r="J66"/>
      <c r="K66"/>
      <c r="L66"/>
      <c r="M66"/>
      <c r="N66"/>
      <c r="O66"/>
      <c r="P66"/>
      <c r="Q66"/>
      <c r="R66"/>
    </row>
    <row r="67" spans="5:18" s="18" customFormat="1" ht="15.75" customHeight="1">
      <c r="E67" s="21"/>
      <c r="F67" s="44"/>
      <c r="G67" s="27"/>
      <c r="J67"/>
      <c r="K67"/>
      <c r="L67"/>
      <c r="M67"/>
      <c r="N67"/>
      <c r="O67"/>
      <c r="P67"/>
      <c r="Q67"/>
      <c r="R67"/>
    </row>
    <row r="68" spans="5:18" s="18" customFormat="1" ht="15.75" customHeight="1">
      <c r="E68" s="21"/>
      <c r="F68" s="44"/>
      <c r="G68" s="27"/>
      <c r="J68"/>
      <c r="K68"/>
      <c r="L68"/>
      <c r="M68"/>
      <c r="N68"/>
      <c r="O68"/>
      <c r="P68"/>
      <c r="Q68"/>
      <c r="R68"/>
    </row>
    <row r="69" spans="5:18" s="18" customFormat="1" ht="15.75" customHeight="1">
      <c r="E69" s="21"/>
      <c r="F69" s="44"/>
      <c r="G69" s="27"/>
      <c r="J69"/>
      <c r="K69"/>
      <c r="L69"/>
      <c r="M69"/>
      <c r="N69"/>
      <c r="O69"/>
      <c r="P69"/>
      <c r="Q69"/>
      <c r="R69"/>
    </row>
    <row r="70" spans="5:18" s="18" customFormat="1" ht="15.75" customHeight="1">
      <c r="E70" s="21"/>
      <c r="F70" s="44"/>
      <c r="G70" s="27"/>
      <c r="J70"/>
      <c r="K70"/>
      <c r="L70"/>
      <c r="M70"/>
      <c r="N70"/>
      <c r="O70"/>
      <c r="P70"/>
      <c r="Q70"/>
      <c r="R70"/>
    </row>
    <row r="71" spans="5:18" s="18" customFormat="1" ht="15.75" customHeight="1">
      <c r="E71" s="21"/>
      <c r="F71" s="44"/>
      <c r="G71" s="27"/>
      <c r="J71"/>
      <c r="K71"/>
      <c r="L71"/>
      <c r="M71"/>
      <c r="N71"/>
      <c r="O71"/>
      <c r="P71"/>
      <c r="Q71"/>
      <c r="R71"/>
    </row>
    <row r="72" spans="5:18" s="18" customFormat="1" ht="15.75" customHeight="1">
      <c r="E72" s="21"/>
      <c r="F72" s="44"/>
      <c r="G72" s="27"/>
      <c r="J72"/>
      <c r="K72"/>
      <c r="L72"/>
      <c r="M72"/>
      <c r="N72"/>
      <c r="O72"/>
      <c r="P72"/>
      <c r="Q72"/>
      <c r="R72"/>
    </row>
    <row r="73" spans="5:18" s="18" customFormat="1" ht="15.75" customHeight="1">
      <c r="E73" s="21"/>
      <c r="F73" s="44"/>
      <c r="G73" s="27"/>
      <c r="J73"/>
      <c r="K73"/>
      <c r="L73"/>
      <c r="M73"/>
      <c r="N73"/>
      <c r="O73"/>
      <c r="P73"/>
      <c r="Q73"/>
      <c r="R73"/>
    </row>
    <row r="74" spans="5:18" s="18" customFormat="1" ht="15.75" customHeight="1">
      <c r="E74" s="21"/>
      <c r="F74" s="44"/>
      <c r="G74" s="27"/>
      <c r="J74"/>
      <c r="K74"/>
      <c r="L74"/>
      <c r="M74"/>
      <c r="N74"/>
      <c r="O74"/>
      <c r="P74"/>
      <c r="Q74"/>
      <c r="R74"/>
    </row>
    <row r="75" spans="5:18" s="18" customFormat="1" ht="15.75" customHeight="1">
      <c r="E75" s="21"/>
      <c r="F75" s="44"/>
      <c r="G75" s="27"/>
      <c r="J75"/>
      <c r="K75"/>
      <c r="L75"/>
      <c r="M75"/>
      <c r="N75"/>
      <c r="O75"/>
      <c r="P75"/>
      <c r="Q75"/>
      <c r="R75"/>
    </row>
    <row r="76" spans="5:18" s="18" customFormat="1" ht="15.75" customHeight="1">
      <c r="E76" s="21"/>
      <c r="F76" s="44"/>
      <c r="G76" s="27"/>
      <c r="J76"/>
      <c r="K76"/>
      <c r="L76"/>
      <c r="M76"/>
      <c r="N76"/>
      <c r="O76"/>
      <c r="P76"/>
      <c r="Q76"/>
      <c r="R76"/>
    </row>
    <row r="77" spans="5:18" s="18" customFormat="1" ht="15.75" customHeight="1">
      <c r="E77" s="21"/>
      <c r="F77" s="44"/>
      <c r="G77" s="27"/>
      <c r="J77"/>
      <c r="K77"/>
      <c r="L77"/>
      <c r="M77"/>
      <c r="N77"/>
      <c r="O77"/>
      <c r="P77"/>
      <c r="Q77"/>
      <c r="R77"/>
    </row>
    <row r="78" spans="5:18" s="18" customFormat="1" ht="15.75" customHeight="1">
      <c r="E78" s="21"/>
      <c r="F78" s="44"/>
      <c r="G78" s="27"/>
      <c r="J78"/>
      <c r="K78"/>
      <c r="L78"/>
      <c r="M78"/>
      <c r="N78"/>
      <c r="O78"/>
      <c r="P78"/>
      <c r="Q78"/>
      <c r="R78"/>
    </row>
    <row r="79" spans="5:18" s="18" customFormat="1" ht="15.75" customHeight="1">
      <c r="E79" s="21"/>
      <c r="F79" s="44"/>
      <c r="G79" s="27"/>
      <c r="J79"/>
      <c r="K79"/>
      <c r="L79"/>
      <c r="M79"/>
      <c r="N79"/>
      <c r="O79"/>
      <c r="P79"/>
      <c r="Q79"/>
      <c r="R79"/>
    </row>
    <row r="80" spans="5:18" s="18" customFormat="1" ht="15.75" customHeight="1">
      <c r="E80" s="21"/>
      <c r="F80" s="44"/>
      <c r="G80" s="27"/>
      <c r="J80"/>
      <c r="K80"/>
      <c r="L80"/>
      <c r="M80"/>
      <c r="N80"/>
      <c r="O80"/>
      <c r="P80"/>
      <c r="Q80"/>
      <c r="R80"/>
    </row>
    <row r="81" spans="5:18" s="18" customFormat="1" ht="15.75" customHeight="1">
      <c r="E81" s="21"/>
      <c r="F81" s="44"/>
      <c r="G81" s="27"/>
      <c r="J81"/>
      <c r="K81"/>
      <c r="L81"/>
      <c r="M81"/>
      <c r="N81"/>
      <c r="O81"/>
      <c r="P81"/>
      <c r="Q81"/>
      <c r="R81"/>
    </row>
    <row r="82" spans="5:18" s="18" customFormat="1" ht="15.75" customHeight="1">
      <c r="E82" s="21"/>
      <c r="F82" s="44"/>
      <c r="G82" s="27"/>
      <c r="J82"/>
      <c r="K82"/>
      <c r="L82"/>
      <c r="M82"/>
      <c r="N82"/>
      <c r="O82"/>
      <c r="P82"/>
      <c r="Q82"/>
      <c r="R82"/>
    </row>
    <row r="83" spans="5:18" s="18" customFormat="1" ht="15.75" customHeight="1">
      <c r="E83" s="21"/>
      <c r="F83" s="44"/>
      <c r="G83" s="27"/>
      <c r="J83"/>
      <c r="K83"/>
      <c r="L83"/>
      <c r="M83"/>
      <c r="N83"/>
      <c r="O83"/>
      <c r="P83"/>
      <c r="Q83"/>
      <c r="R83"/>
    </row>
    <row r="84" spans="5:18" s="18" customFormat="1" ht="15.75" customHeight="1">
      <c r="E84" s="21"/>
      <c r="F84" s="44"/>
      <c r="G84" s="27"/>
      <c r="J84"/>
      <c r="K84"/>
      <c r="L84"/>
      <c r="M84"/>
      <c r="N84"/>
      <c r="O84"/>
      <c r="P84"/>
      <c r="Q84"/>
      <c r="R84"/>
    </row>
    <row r="85" spans="5:18" s="18" customFormat="1" ht="15.75" customHeight="1">
      <c r="E85" s="21"/>
      <c r="F85" s="44"/>
      <c r="G85" s="27"/>
      <c r="J85"/>
      <c r="K85"/>
      <c r="L85"/>
      <c r="M85"/>
      <c r="N85"/>
      <c r="O85"/>
      <c r="P85"/>
      <c r="Q85"/>
      <c r="R85"/>
    </row>
    <row r="86" spans="5:18" s="18" customFormat="1" ht="15.75" customHeight="1">
      <c r="E86" s="21"/>
      <c r="F86" s="44"/>
      <c r="G86" s="27"/>
      <c r="J86"/>
      <c r="K86"/>
      <c r="L86"/>
      <c r="M86"/>
      <c r="N86"/>
      <c r="O86"/>
      <c r="P86"/>
      <c r="Q86"/>
      <c r="R86"/>
    </row>
    <row r="87" spans="5:18" s="18" customFormat="1" ht="15.75" customHeight="1">
      <c r="E87" s="21"/>
      <c r="F87" s="44"/>
      <c r="G87" s="27"/>
      <c r="J87"/>
      <c r="K87"/>
      <c r="L87"/>
      <c r="M87"/>
      <c r="N87"/>
      <c r="O87"/>
      <c r="P87"/>
      <c r="Q87"/>
      <c r="R87"/>
    </row>
    <row r="88" spans="5:18" s="18" customFormat="1" ht="15.75" customHeight="1">
      <c r="E88" s="21"/>
      <c r="F88" s="44"/>
      <c r="G88" s="27"/>
      <c r="J88"/>
      <c r="K88"/>
      <c r="L88"/>
      <c r="M88"/>
      <c r="N88"/>
      <c r="O88"/>
      <c r="P88"/>
      <c r="Q88"/>
      <c r="R88"/>
    </row>
    <row r="89" spans="5:18" s="18" customFormat="1" ht="15.75" customHeight="1">
      <c r="E89" s="21"/>
      <c r="F89" s="44"/>
      <c r="G89" s="27"/>
      <c r="J89"/>
      <c r="K89"/>
      <c r="L89"/>
      <c r="M89"/>
      <c r="N89"/>
      <c r="O89"/>
      <c r="P89"/>
      <c r="Q89"/>
      <c r="R89"/>
    </row>
    <row r="90" spans="5:18" s="18" customFormat="1" ht="15.75" customHeight="1">
      <c r="E90" s="21"/>
      <c r="F90" s="44"/>
      <c r="G90" s="27"/>
      <c r="J90"/>
      <c r="K90"/>
      <c r="L90"/>
      <c r="M90"/>
      <c r="N90"/>
      <c r="O90"/>
      <c r="P90"/>
      <c r="Q90"/>
      <c r="R90"/>
    </row>
    <row r="91" spans="5:18" s="18" customFormat="1" ht="15.75" customHeight="1">
      <c r="E91" s="21"/>
      <c r="F91" s="44"/>
      <c r="G91" s="27"/>
      <c r="J91"/>
      <c r="K91"/>
      <c r="L91"/>
      <c r="M91"/>
      <c r="N91"/>
      <c r="O91"/>
      <c r="P91"/>
      <c r="Q91"/>
      <c r="R91"/>
    </row>
    <row r="92" spans="5:18" s="18" customFormat="1" ht="15.75" customHeight="1">
      <c r="E92" s="21"/>
      <c r="F92" s="44"/>
      <c r="G92" s="27"/>
      <c r="J92"/>
      <c r="K92"/>
      <c r="L92"/>
      <c r="M92"/>
      <c r="N92"/>
      <c r="O92"/>
      <c r="P92"/>
      <c r="Q92"/>
      <c r="R92"/>
    </row>
    <row r="93" spans="5:18" s="18" customFormat="1" ht="15.75" customHeight="1">
      <c r="E93" s="21"/>
      <c r="F93" s="44"/>
      <c r="G93" s="27"/>
      <c r="J93"/>
      <c r="K93"/>
      <c r="L93"/>
      <c r="M93"/>
      <c r="N93"/>
      <c r="O93"/>
      <c r="P93"/>
      <c r="Q93"/>
      <c r="R93"/>
    </row>
    <row r="94" spans="5:18" s="18" customFormat="1" ht="15.75" customHeight="1">
      <c r="E94" s="21"/>
      <c r="F94" s="44"/>
      <c r="G94" s="27"/>
      <c r="J94"/>
      <c r="K94"/>
      <c r="L94"/>
      <c r="M94"/>
      <c r="N94"/>
      <c r="O94"/>
      <c r="P94"/>
      <c r="Q94"/>
      <c r="R94"/>
    </row>
    <row r="95" spans="5:18" s="18" customFormat="1" ht="15.75" customHeight="1">
      <c r="E95" s="21"/>
      <c r="F95" s="44"/>
      <c r="G95" s="27"/>
      <c r="J95"/>
      <c r="K95"/>
      <c r="L95"/>
      <c r="M95"/>
      <c r="N95"/>
      <c r="O95"/>
      <c r="P95"/>
      <c r="Q95"/>
      <c r="R95"/>
    </row>
    <row r="96" spans="5:18" s="18" customFormat="1" ht="15.75" customHeight="1">
      <c r="E96" s="21"/>
      <c r="F96" s="44"/>
      <c r="G96" s="27"/>
      <c r="J96"/>
      <c r="K96"/>
      <c r="L96"/>
      <c r="M96"/>
      <c r="N96"/>
      <c r="O96"/>
      <c r="P96"/>
      <c r="Q96"/>
      <c r="R96"/>
    </row>
    <row r="97" spans="5:18" s="18" customFormat="1" ht="15.75" customHeight="1">
      <c r="E97" s="21"/>
      <c r="F97" s="44"/>
      <c r="G97" s="27"/>
      <c r="J97"/>
      <c r="K97"/>
      <c r="L97"/>
      <c r="M97"/>
      <c r="N97"/>
      <c r="O97"/>
      <c r="P97"/>
      <c r="Q97"/>
      <c r="R97"/>
    </row>
    <row r="98" spans="5:18" s="18" customFormat="1" ht="15.75" customHeight="1">
      <c r="E98" s="21"/>
      <c r="F98" s="44"/>
      <c r="G98" s="27"/>
      <c r="J98"/>
      <c r="K98"/>
      <c r="L98"/>
      <c r="M98"/>
      <c r="N98"/>
      <c r="O98"/>
      <c r="P98"/>
      <c r="Q98"/>
      <c r="R98"/>
    </row>
    <row r="99" spans="5:18" s="18" customFormat="1" ht="15.75" customHeight="1">
      <c r="E99" s="21"/>
      <c r="F99" s="44"/>
      <c r="G99" s="27"/>
      <c r="J99"/>
      <c r="K99"/>
      <c r="L99"/>
      <c r="M99"/>
      <c r="N99"/>
      <c r="O99"/>
      <c r="P99"/>
      <c r="Q99"/>
      <c r="R99"/>
    </row>
    <row r="100" spans="5:18" s="18" customFormat="1" ht="15.75" customHeight="1">
      <c r="E100" s="21"/>
      <c r="F100" s="44"/>
      <c r="G100" s="27"/>
      <c r="J100"/>
      <c r="K100"/>
      <c r="L100"/>
      <c r="M100"/>
      <c r="N100"/>
      <c r="O100"/>
      <c r="P100"/>
      <c r="Q100"/>
      <c r="R100"/>
    </row>
    <row r="101" spans="5:18" s="18" customFormat="1" ht="15.75" customHeight="1">
      <c r="E101" s="21"/>
      <c r="F101" s="44"/>
      <c r="G101" s="27"/>
      <c r="J101"/>
      <c r="K101"/>
      <c r="L101"/>
      <c r="M101"/>
      <c r="N101"/>
      <c r="O101"/>
      <c r="P101"/>
      <c r="Q101"/>
      <c r="R101"/>
    </row>
    <row r="102" spans="5:18" s="18" customFormat="1" ht="15.75" customHeight="1">
      <c r="E102" s="21"/>
      <c r="F102" s="44"/>
      <c r="G102" s="27"/>
      <c r="J102"/>
      <c r="K102"/>
      <c r="L102"/>
      <c r="M102"/>
      <c r="N102"/>
      <c r="O102"/>
      <c r="P102"/>
      <c r="Q102"/>
      <c r="R102"/>
    </row>
    <row r="103" spans="5:18" s="18" customFormat="1" ht="15.75" customHeight="1">
      <c r="E103" s="21"/>
      <c r="F103" s="44"/>
      <c r="G103" s="27"/>
      <c r="J103"/>
      <c r="K103"/>
      <c r="L103"/>
      <c r="M103"/>
      <c r="N103"/>
      <c r="O103"/>
      <c r="P103"/>
      <c r="Q103"/>
      <c r="R103"/>
    </row>
  </sheetData>
  <autoFilter ref="A8:P18" xr:uid="{00000000-0009-0000-0000-000000000000}"/>
  <mergeCells count="69">
    <mergeCell ref="E33:F33"/>
    <mergeCell ref="N33:O33"/>
    <mergeCell ref="E34:F34"/>
    <mergeCell ref="N34:O34"/>
    <mergeCell ref="E30:F30"/>
    <mergeCell ref="N30:O30"/>
    <mergeCell ref="E31:F31"/>
    <mergeCell ref="N31:O31"/>
    <mergeCell ref="E32:F32"/>
    <mergeCell ref="N32:O32"/>
    <mergeCell ref="E27:F27"/>
    <mergeCell ref="N27:O27"/>
    <mergeCell ref="E28:F28"/>
    <mergeCell ref="N28:O28"/>
    <mergeCell ref="E29:F29"/>
    <mergeCell ref="N29:O29"/>
    <mergeCell ref="E24:F24"/>
    <mergeCell ref="N24:O24"/>
    <mergeCell ref="E25:F25"/>
    <mergeCell ref="N25:O25"/>
    <mergeCell ref="E26:F26"/>
    <mergeCell ref="N26:O26"/>
    <mergeCell ref="E21:F21"/>
    <mergeCell ref="N21:O21"/>
    <mergeCell ref="E22:F22"/>
    <mergeCell ref="N22:O22"/>
    <mergeCell ref="E23:F23"/>
    <mergeCell ref="N23:O23"/>
    <mergeCell ref="E18:F18"/>
    <mergeCell ref="N18:O18"/>
    <mergeCell ref="E19:F19"/>
    <mergeCell ref="N19:O19"/>
    <mergeCell ref="E20:F20"/>
    <mergeCell ref="N20:O20"/>
    <mergeCell ref="E13:F13"/>
    <mergeCell ref="E14:F14"/>
    <mergeCell ref="E15:F15"/>
    <mergeCell ref="E16:F16"/>
    <mergeCell ref="E17:F17"/>
    <mergeCell ref="N17:O17"/>
    <mergeCell ref="E9:F9"/>
    <mergeCell ref="N9:O9"/>
    <mergeCell ref="E10:F10"/>
    <mergeCell ref="E11:F11"/>
    <mergeCell ref="N11:O11"/>
    <mergeCell ref="E12:F12"/>
    <mergeCell ref="B7:D7"/>
    <mergeCell ref="E7:I7"/>
    <mergeCell ref="J7:L7"/>
    <mergeCell ref="N7:P7"/>
    <mergeCell ref="E8:F8"/>
    <mergeCell ref="N8:O8"/>
    <mergeCell ref="Q2:Q5"/>
    <mergeCell ref="R2:R5"/>
    <mergeCell ref="C3:C5"/>
    <mergeCell ref="D3:D5"/>
    <mergeCell ref="F3:G3"/>
    <mergeCell ref="F4:G4"/>
    <mergeCell ref="F5:G5"/>
    <mergeCell ref="B1:D1"/>
    <mergeCell ref="E1:I1"/>
    <mergeCell ref="N1:P1"/>
    <mergeCell ref="E2:E6"/>
    <mergeCell ref="F2:G2"/>
    <mergeCell ref="J2:L6"/>
    <mergeCell ref="M2:M6"/>
    <mergeCell ref="N2:N6"/>
    <mergeCell ref="O2:P6"/>
    <mergeCell ref="F6:I6"/>
  </mergeCells>
  <conditionalFormatting sqref="A15">
    <cfRule type="expression" dxfId="41" priority="9">
      <formula>M15 = "On Hold"</formula>
    </cfRule>
  </conditionalFormatting>
  <conditionalFormatting sqref="A17:A18">
    <cfRule type="expression" dxfId="40" priority="12">
      <formula>M17 = "On Hold"</formula>
    </cfRule>
  </conditionalFormatting>
  <conditionalFormatting sqref="B2:B5 J9:P18">
    <cfRule type="cellIs" dxfId="39" priority="10" operator="equal">
      <formula>"Done"</formula>
    </cfRule>
    <cfRule type="cellIs" dxfId="38" priority="11" operator="equal">
      <formula>"On Hold"</formula>
    </cfRule>
    <cfRule type="cellIs" dxfId="37" priority="13" operator="equal">
      <formula>"Ready for Review"</formula>
    </cfRule>
    <cfRule type="cellIs" dxfId="36" priority="14" operator="equal">
      <formula>"In Review"</formula>
    </cfRule>
  </conditionalFormatting>
  <conditionalFormatting sqref="M19:O34">
    <cfRule type="cellIs" dxfId="35" priority="5" operator="equal">
      <formula>"Done"</formula>
    </cfRule>
    <cfRule type="cellIs" dxfId="34" priority="6" operator="equal">
      <formula>"On Hold"</formula>
    </cfRule>
    <cfRule type="cellIs" dxfId="33" priority="7" operator="equal">
      <formula>"Ready for Review"</formula>
    </cfRule>
    <cfRule type="cellIs" dxfId="32" priority="8" operator="equal">
      <formula>"In Review"</formula>
    </cfRule>
  </conditionalFormatting>
  <dataValidations count="6">
    <dataValidation type="list" allowBlank="1" showErrorMessage="1" sqref="B2" xr:uid="{C4B99C7D-3476-4222-82BC-26C0291949F4}">
      <formula1>STT_Statuses</formula1>
    </dataValidation>
    <dataValidation type="list" allowBlank="1" sqref="B4:B5" xr:uid="{B0E98E33-0BF5-4DD6-B934-AEC06DF3EB12}">
      <formula1>ETL_Statuses</formula1>
    </dataValidation>
    <dataValidation type="list" allowBlank="1" sqref="B3 M9:M18" xr:uid="{CC833C9F-BD4A-44A8-A9E4-B77AE54B49B6}">
      <formula1>Statuses</formula1>
    </dataValidation>
    <dataValidation type="list" allowBlank="1" sqref="B17:B18 B10 B15" xr:uid="{2B5AB324-FE31-4BB8-8CAB-FEB82DBDD3E9}">
      <formula1>Data_Types</formula1>
    </dataValidation>
    <dataValidation type="list" allowBlank="1" sqref="N9:N18" xr:uid="{B406C1F5-5722-4C3D-A297-58C94D7426F6}">
      <formula1>Categories</formula1>
    </dataValidation>
    <dataValidation type="list" allowBlank="1" sqref="P9:P18" xr:uid="{6220B38B-D7C8-4411-BBE0-6B6CE0DE8BDE}">
      <formula1>Versions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ECFE4-3C9C-4A99-B28A-C661822EB136}">
  <sheetPr>
    <tabColor theme="6" tint="0.59999389629810485"/>
    <outlinePr summaryBelow="0" summaryRight="0"/>
  </sheetPr>
  <dimension ref="A1:R144"/>
  <sheetViews>
    <sheetView zoomScale="80" zoomScaleNormal="80" workbookViewId="0">
      <pane xSplit="1" ySplit="8" topLeftCell="B9" activePane="bottomRight" state="frozen"/>
      <selection pane="bottomRight" activeCell="D14" sqref="D14"/>
      <selection pane="bottomLeft" activeCell="A9" sqref="A9"/>
      <selection pane="topRight" activeCell="B1" sqref="B1"/>
    </sheetView>
  </sheetViews>
  <sheetFormatPr defaultColWidth="12.7109375" defaultRowHeight="15" customHeight="1" outlineLevelRow="1" outlineLevelCol="1"/>
  <cols>
    <col min="1" max="1" width="35.7109375" style="18" customWidth="1"/>
    <col min="2" max="2" width="16.28515625" style="18" customWidth="1" outlineLevel="1"/>
    <col min="3" max="3" width="7" style="18" customWidth="1" outlineLevel="1"/>
    <col min="4" max="4" width="28" style="18" customWidth="1" outlineLevel="1"/>
    <col min="5" max="5" width="2.28515625" style="21" customWidth="1"/>
    <col min="6" max="6" width="12.7109375" style="44" customWidth="1" outlineLevel="1"/>
    <col min="7" max="7" width="18.140625" style="27" customWidth="1" outlineLevel="1"/>
    <col min="8" max="8" width="30.7109375" style="18" customWidth="1" outlineLevel="1"/>
    <col min="9" max="9" width="33.140625" style="18" customWidth="1" outlineLevel="1"/>
    <col min="10" max="10" width="5.85546875" hidden="1" customWidth="1" outlineLevel="1"/>
    <col min="11" max="11" width="5" hidden="1" customWidth="1" outlineLevel="1"/>
    <col min="12" max="12" width="11.7109375" hidden="1" customWidth="1" outlineLevel="1"/>
    <col min="13" max="13" width="2.28515625" customWidth="1"/>
    <col min="14" max="14" width="2.28515625" customWidth="1" collapsed="1"/>
    <col min="15" max="15" width="10.7109375" hidden="1" customWidth="1" outlineLevel="1"/>
    <col min="16" max="16" width="11" hidden="1" customWidth="1" outlineLevel="1"/>
    <col min="17" max="18" width="47.7109375" customWidth="1"/>
  </cols>
  <sheetData>
    <row r="1" spans="1:18" ht="5.25" customHeight="1" outlineLevel="1">
      <c r="A1" s="28"/>
      <c r="B1" s="109"/>
      <c r="C1" s="106"/>
      <c r="D1" s="106"/>
      <c r="E1" s="110"/>
      <c r="F1" s="106"/>
      <c r="G1" s="106"/>
      <c r="H1" s="106"/>
      <c r="I1" s="106"/>
      <c r="J1" s="2"/>
      <c r="K1" s="2"/>
      <c r="L1" s="2"/>
      <c r="M1" s="2"/>
      <c r="N1" s="111"/>
      <c r="O1" s="124"/>
      <c r="P1" s="124"/>
    </row>
    <row r="2" spans="1:18" ht="15.75" customHeight="1" outlineLevel="1">
      <c r="A2" s="29" t="s">
        <v>0</v>
      </c>
      <c r="B2" s="29" t="s">
        <v>1</v>
      </c>
      <c r="C2" s="30"/>
      <c r="D2" s="31" t="s">
        <v>2</v>
      </c>
      <c r="E2" s="112" t="s">
        <v>3</v>
      </c>
      <c r="F2" s="115" t="s">
        <v>4</v>
      </c>
      <c r="G2" s="116"/>
      <c r="H2" s="19" t="s">
        <v>5</v>
      </c>
      <c r="I2" s="20"/>
      <c r="J2" s="117"/>
      <c r="K2" s="125"/>
      <c r="L2" s="126"/>
      <c r="M2" s="118" t="s">
        <v>6</v>
      </c>
      <c r="N2" s="119" t="s">
        <v>7</v>
      </c>
      <c r="O2" s="120"/>
      <c r="P2" s="126"/>
      <c r="Q2" s="128" t="s">
        <v>8</v>
      </c>
      <c r="R2" s="128" t="s">
        <v>9</v>
      </c>
    </row>
    <row r="3" spans="1:18" ht="15.75" customHeight="1" outlineLevel="1">
      <c r="A3" s="29" t="s">
        <v>10</v>
      </c>
      <c r="B3" s="29"/>
      <c r="C3" s="108"/>
      <c r="D3" s="121" t="s">
        <v>478</v>
      </c>
      <c r="E3" s="113"/>
      <c r="F3" s="103" t="s">
        <v>479</v>
      </c>
      <c r="G3" s="104"/>
      <c r="H3" s="19" t="s">
        <v>13</v>
      </c>
      <c r="I3" s="20"/>
      <c r="J3" s="129"/>
      <c r="K3" s="128"/>
      <c r="L3" s="130"/>
      <c r="M3" s="131"/>
      <c r="N3" s="131"/>
      <c r="O3" s="129"/>
      <c r="P3" s="130"/>
      <c r="Q3" s="128"/>
      <c r="R3" s="128"/>
    </row>
    <row r="4" spans="1:18" ht="15.75" customHeight="1" outlineLevel="1">
      <c r="A4" s="29" t="s">
        <v>14</v>
      </c>
      <c r="B4" s="29"/>
      <c r="C4" s="108"/>
      <c r="D4" s="113"/>
      <c r="E4" s="113"/>
      <c r="F4" s="115" t="s">
        <v>15</v>
      </c>
      <c r="G4" s="116"/>
      <c r="H4" s="19" t="s">
        <v>16</v>
      </c>
      <c r="I4" s="20"/>
      <c r="J4" s="129"/>
      <c r="K4" s="128"/>
      <c r="L4" s="130"/>
      <c r="M4" s="131"/>
      <c r="N4" s="131"/>
      <c r="O4" s="129"/>
      <c r="P4" s="130"/>
      <c r="Q4" s="128"/>
      <c r="R4" s="128"/>
    </row>
    <row r="5" spans="1:18" ht="15.75" customHeight="1" outlineLevel="1">
      <c r="A5" s="29" t="s">
        <v>17</v>
      </c>
      <c r="B5" s="29"/>
      <c r="C5" s="108"/>
      <c r="D5" s="114"/>
      <c r="E5" s="113"/>
      <c r="F5" s="103" t="s">
        <v>18</v>
      </c>
      <c r="G5" s="104"/>
      <c r="H5" s="19" t="s">
        <v>19</v>
      </c>
      <c r="I5" s="20"/>
      <c r="J5" s="129"/>
      <c r="K5" s="128"/>
      <c r="L5" s="130"/>
      <c r="M5" s="131"/>
      <c r="N5" s="131"/>
      <c r="O5" s="129"/>
      <c r="P5" s="130"/>
      <c r="Q5" s="128"/>
      <c r="R5" s="128"/>
    </row>
    <row r="6" spans="1:18" ht="15.75" customHeight="1" outlineLevel="1">
      <c r="A6" s="21"/>
      <c r="B6" s="21"/>
      <c r="C6" s="32" t="e" vm="1">
        <v>#VALUE!</v>
      </c>
      <c r="D6" s="21"/>
      <c r="E6" s="114"/>
      <c r="F6" s="108"/>
      <c r="G6" s="108"/>
      <c r="H6" s="108"/>
      <c r="I6" s="108"/>
      <c r="J6" s="134"/>
      <c r="K6" s="135"/>
      <c r="L6" s="136"/>
      <c r="M6" s="137"/>
      <c r="N6" s="137"/>
      <c r="O6" s="134"/>
      <c r="P6" s="136"/>
      <c r="Q6" s="10" t="s">
        <v>20</v>
      </c>
      <c r="R6" s="10" t="s">
        <v>20</v>
      </c>
    </row>
    <row r="7" spans="1:18" ht="15.75" customHeight="1">
      <c r="A7" s="33" t="s">
        <v>21</v>
      </c>
      <c r="B7" s="98" t="s">
        <v>21</v>
      </c>
      <c r="C7" s="99"/>
      <c r="D7" s="99"/>
      <c r="E7" s="100" t="s">
        <v>22</v>
      </c>
      <c r="F7" s="99"/>
      <c r="G7" s="99"/>
      <c r="H7" s="99"/>
      <c r="I7" s="101"/>
      <c r="J7" s="138"/>
      <c r="K7" s="138"/>
      <c r="L7" s="139"/>
      <c r="M7" s="53" t="s">
        <v>23</v>
      </c>
      <c r="N7" s="102" t="s">
        <v>24</v>
      </c>
      <c r="O7" s="138"/>
      <c r="P7" s="139"/>
      <c r="Q7" s="11"/>
      <c r="R7" s="11"/>
    </row>
    <row r="8" spans="1:18" ht="15.75" customHeight="1">
      <c r="A8" s="34" t="s">
        <v>26</v>
      </c>
      <c r="B8" s="34" t="s">
        <v>27</v>
      </c>
      <c r="C8" s="34" t="s">
        <v>28</v>
      </c>
      <c r="D8" s="35" t="s">
        <v>29</v>
      </c>
      <c r="E8" s="94" t="s">
        <v>30</v>
      </c>
      <c r="F8" s="101"/>
      <c r="G8" s="17" t="s">
        <v>31</v>
      </c>
      <c r="H8" s="22" t="s">
        <v>32</v>
      </c>
      <c r="I8" s="23" t="s">
        <v>33</v>
      </c>
      <c r="J8" s="50"/>
      <c r="K8" s="12" t="s">
        <v>31</v>
      </c>
      <c r="L8" s="12" t="s">
        <v>26</v>
      </c>
      <c r="M8" s="52" t="s">
        <v>34</v>
      </c>
      <c r="N8" s="140" t="s">
        <v>35</v>
      </c>
      <c r="O8" s="139"/>
      <c r="P8" s="13" t="s">
        <v>36</v>
      </c>
      <c r="Q8" s="14" t="str">
        <f>"("</f>
        <v>(</v>
      </c>
      <c r="R8" s="14" t="str">
        <f>"("</f>
        <v>(</v>
      </c>
    </row>
    <row r="9" spans="1:18" ht="15.75" customHeight="1" outlineLevel="1">
      <c r="A9" s="37" t="s">
        <v>427</v>
      </c>
      <c r="B9" s="34" t="s">
        <v>38</v>
      </c>
      <c r="C9" s="36" t="e" vm="1">
        <v>#VALUE!</v>
      </c>
      <c r="D9" s="16" t="s">
        <v>480</v>
      </c>
      <c r="E9" s="94" t="s">
        <v>40</v>
      </c>
      <c r="F9" s="95"/>
      <c r="G9" s="17" t="s">
        <v>481</v>
      </c>
      <c r="H9" s="22" t="s">
        <v>427</v>
      </c>
      <c r="I9" s="17"/>
      <c r="J9" s="41"/>
      <c r="K9" s="12"/>
      <c r="L9" s="12"/>
      <c r="M9" s="49"/>
      <c r="N9" s="140"/>
      <c r="O9" s="141"/>
      <c r="P9" s="13"/>
      <c r="Q9" s="14"/>
      <c r="R9" s="14"/>
    </row>
    <row r="10" spans="1:18" ht="15.75" customHeight="1" outlineLevel="1">
      <c r="A10" s="37" t="s">
        <v>482</v>
      </c>
      <c r="B10" s="34" t="s">
        <v>38</v>
      </c>
      <c r="C10" s="36"/>
      <c r="D10" s="34" t="s">
        <v>483</v>
      </c>
      <c r="E10" s="94" t="s">
        <v>40</v>
      </c>
      <c r="F10" s="95"/>
      <c r="G10" s="17" t="s">
        <v>481</v>
      </c>
      <c r="H10" s="17" t="s">
        <v>482</v>
      </c>
      <c r="I10" s="23"/>
      <c r="J10" s="41"/>
      <c r="K10" s="12"/>
      <c r="L10" s="12"/>
      <c r="M10" s="49"/>
      <c r="N10" s="140"/>
      <c r="O10" s="141"/>
      <c r="P10" s="13"/>
      <c r="Q10" s="14"/>
      <c r="R10" s="14"/>
    </row>
    <row r="11" spans="1:18" ht="15.75" customHeight="1" outlineLevel="1">
      <c r="A11" s="37" t="s">
        <v>429</v>
      </c>
      <c r="B11" s="34" t="s">
        <v>38</v>
      </c>
      <c r="C11" s="36"/>
      <c r="D11" s="34" t="s">
        <v>484</v>
      </c>
      <c r="E11" s="94" t="s">
        <v>40</v>
      </c>
      <c r="F11" s="95"/>
      <c r="G11" s="17" t="s">
        <v>481</v>
      </c>
      <c r="H11" s="17" t="s">
        <v>429</v>
      </c>
      <c r="I11" s="23"/>
      <c r="J11" s="41"/>
      <c r="K11" s="12"/>
      <c r="L11" s="12"/>
      <c r="M11" s="49"/>
      <c r="N11" s="42"/>
      <c r="O11" s="43"/>
      <c r="P11" s="13"/>
      <c r="Q11" s="14"/>
      <c r="R11" s="14"/>
    </row>
    <row r="12" spans="1:18" ht="15.75" customHeight="1" outlineLevel="1">
      <c r="A12" s="37" t="s">
        <v>431</v>
      </c>
      <c r="B12" s="34" t="s">
        <v>38</v>
      </c>
      <c r="C12" s="36"/>
      <c r="D12" s="34" t="s">
        <v>432</v>
      </c>
      <c r="E12" s="94" t="s">
        <v>40</v>
      </c>
      <c r="F12" s="95"/>
      <c r="G12" s="17" t="s">
        <v>481</v>
      </c>
      <c r="H12" s="17" t="s">
        <v>431</v>
      </c>
      <c r="I12" s="23"/>
      <c r="J12" s="41"/>
      <c r="K12" s="12"/>
      <c r="L12" s="12"/>
      <c r="M12" s="49"/>
      <c r="N12" s="42"/>
      <c r="O12" s="43"/>
      <c r="P12" s="13"/>
      <c r="Q12" s="14"/>
      <c r="R12" s="14"/>
    </row>
    <row r="13" spans="1:18" ht="15.75" customHeight="1" outlineLevel="1">
      <c r="A13" s="37" t="s">
        <v>433</v>
      </c>
      <c r="B13" s="34" t="s">
        <v>38</v>
      </c>
      <c r="C13" s="36"/>
      <c r="D13" s="16" t="s">
        <v>434</v>
      </c>
      <c r="E13" s="94" t="s">
        <v>40</v>
      </c>
      <c r="F13" s="95"/>
      <c r="G13" s="17" t="s">
        <v>481</v>
      </c>
      <c r="H13" s="17" t="s">
        <v>433</v>
      </c>
      <c r="I13" s="23"/>
      <c r="J13" s="41"/>
      <c r="K13" s="12"/>
      <c r="L13" s="12"/>
      <c r="M13" s="49"/>
      <c r="N13" s="140"/>
      <c r="O13" s="141"/>
      <c r="P13" s="13"/>
      <c r="Q13" s="14"/>
      <c r="R13" s="14"/>
    </row>
    <row r="14" spans="1:18" ht="15.75" customHeight="1" outlineLevel="1">
      <c r="A14" s="37" t="s">
        <v>435</v>
      </c>
      <c r="B14" s="34" t="s">
        <v>38</v>
      </c>
      <c r="C14" s="36"/>
      <c r="D14" s="16" t="s">
        <v>436</v>
      </c>
      <c r="E14" s="46" t="s">
        <v>40</v>
      </c>
      <c r="F14" s="47"/>
      <c r="G14" s="17" t="s">
        <v>481</v>
      </c>
      <c r="H14" s="22" t="s">
        <v>435</v>
      </c>
      <c r="I14" s="48"/>
      <c r="J14" s="41"/>
      <c r="K14" s="12"/>
      <c r="L14" s="12"/>
      <c r="M14" s="45"/>
      <c r="N14" s="42"/>
      <c r="O14" s="43"/>
      <c r="P14" s="13"/>
      <c r="Q14" s="14"/>
      <c r="R14" s="14"/>
    </row>
    <row r="15" spans="1:18" ht="15.75" customHeight="1" outlineLevel="1">
      <c r="A15" s="37" t="s">
        <v>437</v>
      </c>
      <c r="B15" s="34" t="s">
        <v>38</v>
      </c>
      <c r="C15" s="36"/>
      <c r="D15" s="34" t="s">
        <v>438</v>
      </c>
      <c r="E15" s="94" t="s">
        <v>40</v>
      </c>
      <c r="F15" s="95"/>
      <c r="G15" s="17" t="s">
        <v>481</v>
      </c>
      <c r="H15" s="22" t="s">
        <v>437</v>
      </c>
      <c r="I15" s="23"/>
      <c r="J15" s="41"/>
      <c r="K15" s="12"/>
      <c r="L15" s="12"/>
      <c r="M15" s="45"/>
      <c r="N15" s="140"/>
      <c r="O15" s="141"/>
      <c r="P15" s="13"/>
      <c r="Q15" s="14"/>
      <c r="R15" s="14"/>
    </row>
    <row r="16" spans="1:18" ht="15.75" customHeight="1" outlineLevel="1">
      <c r="A16" s="37" t="s">
        <v>439</v>
      </c>
      <c r="B16" s="34" t="s">
        <v>440</v>
      </c>
      <c r="C16" s="36"/>
      <c r="D16" s="16" t="s">
        <v>441</v>
      </c>
      <c r="E16" s="46" t="s">
        <v>40</v>
      </c>
      <c r="F16" s="47"/>
      <c r="G16" s="17" t="s">
        <v>481</v>
      </c>
      <c r="H16" s="22" t="s">
        <v>439</v>
      </c>
      <c r="I16" s="48"/>
      <c r="J16" s="41"/>
      <c r="K16" s="12"/>
      <c r="L16" s="12"/>
      <c r="M16" s="45"/>
      <c r="N16" s="42"/>
      <c r="O16" s="43"/>
      <c r="P16" s="13"/>
      <c r="Q16" s="14" t="str">
        <f t="shared" ref="Q16" si="0">CONCATENATE($Q$2,H16,$R$2,A16,$Q$2,",")</f>
        <v>"dashboard_still_exists": "dashboard_still_exists",</v>
      </c>
      <c r="R16" s="14" t="e">
        <f>IF(#REF!="Done",H16 &amp; "::" &amp; B16 &amp; " as " &amp; A16 &amp; IF(B17 = "", "",","),"")</f>
        <v>#REF!</v>
      </c>
    </row>
    <row r="17" spans="1:18" ht="15.75" customHeight="1">
      <c r="A17" s="37" t="s">
        <v>353</v>
      </c>
      <c r="B17" s="34" t="s">
        <v>38</v>
      </c>
      <c r="C17" s="36"/>
      <c r="D17" s="34" t="s">
        <v>485</v>
      </c>
      <c r="E17" s="94" t="s">
        <v>40</v>
      </c>
      <c r="F17" s="95"/>
      <c r="G17" s="17" t="s">
        <v>481</v>
      </c>
      <c r="H17" s="22"/>
      <c r="I17" s="23"/>
      <c r="J17" s="41"/>
      <c r="K17" s="12"/>
      <c r="L17" s="12"/>
      <c r="M17" s="45"/>
      <c r="N17" s="140"/>
      <c r="O17" s="141"/>
      <c r="P17" s="13"/>
      <c r="Q17" s="14" t="s">
        <v>486</v>
      </c>
      <c r="R17" s="14" t="s">
        <v>486</v>
      </c>
    </row>
    <row r="18" spans="1:18" ht="15.75" customHeight="1">
      <c r="A18" s="37" t="s">
        <v>487</v>
      </c>
      <c r="B18" s="34" t="s">
        <v>420</v>
      </c>
      <c r="C18" s="36"/>
      <c r="D18" s="16" t="s">
        <v>488</v>
      </c>
      <c r="E18" s="46" t="s">
        <v>40</v>
      </c>
      <c r="F18" s="47"/>
      <c r="G18" s="17" t="s">
        <v>481</v>
      </c>
      <c r="H18" s="22" t="s">
        <v>487</v>
      </c>
      <c r="I18" s="48"/>
      <c r="J18" s="41"/>
      <c r="K18" s="12"/>
      <c r="L18" s="12"/>
      <c r="M18" s="45"/>
      <c r="N18" s="42"/>
      <c r="O18" s="43"/>
      <c r="P18" s="13"/>
      <c r="Q18" s="14"/>
      <c r="R18" s="14"/>
    </row>
    <row r="19" spans="1:18" ht="15.75" customHeight="1">
      <c r="A19" s="37" t="s">
        <v>489</v>
      </c>
      <c r="B19" s="34" t="s">
        <v>420</v>
      </c>
      <c r="C19" s="36"/>
      <c r="D19" s="34" t="s">
        <v>490</v>
      </c>
      <c r="E19" s="94" t="s">
        <v>40</v>
      </c>
      <c r="F19" s="95"/>
      <c r="G19" s="17" t="s">
        <v>481</v>
      </c>
      <c r="H19" s="22" t="s">
        <v>489</v>
      </c>
      <c r="I19" s="23"/>
      <c r="J19" s="41"/>
      <c r="K19" s="12"/>
      <c r="L19" s="12"/>
      <c r="M19" s="45"/>
      <c r="N19" s="140"/>
      <c r="O19" s="141"/>
      <c r="P19" s="13"/>
      <c r="Q19" s="14"/>
      <c r="R19" s="14"/>
    </row>
    <row r="20" spans="1:18" ht="15.75" customHeight="1">
      <c r="A20" s="37" t="s">
        <v>491</v>
      </c>
      <c r="B20" s="34" t="s">
        <v>72</v>
      </c>
      <c r="C20" s="36"/>
      <c r="D20" s="16" t="s">
        <v>492</v>
      </c>
      <c r="E20" s="46" t="s">
        <v>40</v>
      </c>
      <c r="F20" s="47"/>
      <c r="G20" s="17" t="s">
        <v>481</v>
      </c>
      <c r="H20" s="22" t="s">
        <v>491</v>
      </c>
      <c r="I20" s="48"/>
      <c r="J20" s="41"/>
      <c r="K20" s="12"/>
      <c r="L20" s="12"/>
      <c r="M20" s="45"/>
      <c r="N20" s="42"/>
      <c r="O20" s="43"/>
      <c r="P20" s="13"/>
      <c r="Q20" s="14"/>
      <c r="R20" s="14"/>
    </row>
    <row r="21" spans="1:18" ht="15.75" customHeight="1">
      <c r="A21" s="37" t="s">
        <v>493</v>
      </c>
      <c r="B21" s="34" t="s">
        <v>72</v>
      </c>
      <c r="C21" s="36"/>
      <c r="D21" s="34" t="s">
        <v>494</v>
      </c>
      <c r="E21" s="94" t="s">
        <v>40</v>
      </c>
      <c r="F21" s="95"/>
      <c r="G21" s="17" t="s">
        <v>481</v>
      </c>
      <c r="H21" s="22" t="s">
        <v>493</v>
      </c>
      <c r="I21" s="23"/>
      <c r="J21" s="41"/>
      <c r="K21" s="12"/>
      <c r="L21" s="12"/>
      <c r="M21" s="45"/>
      <c r="N21" s="140"/>
      <c r="O21" s="141"/>
      <c r="P21" s="13"/>
      <c r="Q21" s="14"/>
      <c r="R21" s="14"/>
    </row>
    <row r="22" spans="1:18" ht="15.75" customHeight="1">
      <c r="A22" s="37" t="s">
        <v>495</v>
      </c>
      <c r="B22" s="34" t="s">
        <v>50</v>
      </c>
      <c r="C22" s="36"/>
      <c r="D22" s="16" t="s">
        <v>496</v>
      </c>
      <c r="E22" s="46" t="s">
        <v>40</v>
      </c>
      <c r="F22" s="47"/>
      <c r="G22" s="17" t="s">
        <v>481</v>
      </c>
      <c r="H22" s="22" t="s">
        <v>495</v>
      </c>
      <c r="I22" s="48"/>
      <c r="J22" s="41"/>
      <c r="K22" s="12"/>
      <c r="L22" s="12"/>
      <c r="M22" s="45"/>
      <c r="N22" s="42"/>
      <c r="O22" s="43"/>
      <c r="P22" s="13"/>
      <c r="Q22" s="14"/>
      <c r="R22" s="14"/>
    </row>
    <row r="23" spans="1:18" ht="15.75" customHeight="1">
      <c r="A23" s="37" t="s">
        <v>497</v>
      </c>
      <c r="B23" s="34" t="s">
        <v>50</v>
      </c>
      <c r="C23" s="36"/>
      <c r="D23" s="34" t="s">
        <v>498</v>
      </c>
      <c r="E23" s="94" t="s">
        <v>40</v>
      </c>
      <c r="F23" s="95"/>
      <c r="G23" s="17" t="s">
        <v>481</v>
      </c>
      <c r="H23" s="22" t="s">
        <v>497</v>
      </c>
      <c r="I23" s="23"/>
      <c r="J23" s="41"/>
      <c r="K23" s="12"/>
      <c r="L23" s="12"/>
      <c r="M23" s="45"/>
      <c r="N23" s="140"/>
      <c r="O23" s="141"/>
      <c r="P23" s="13"/>
      <c r="Q23" s="14"/>
      <c r="R23" s="14"/>
    </row>
    <row r="24" spans="1:18" ht="15.75" customHeight="1">
      <c r="A24" s="37" t="s">
        <v>499</v>
      </c>
      <c r="B24" s="34" t="s">
        <v>50</v>
      </c>
      <c r="C24" s="36"/>
      <c r="D24" s="16" t="s">
        <v>500</v>
      </c>
      <c r="E24" s="46" t="s">
        <v>40</v>
      </c>
      <c r="F24" s="47"/>
      <c r="G24" s="17" t="s">
        <v>481</v>
      </c>
      <c r="H24" s="22" t="s">
        <v>499</v>
      </c>
      <c r="I24" s="48"/>
      <c r="J24" s="41"/>
      <c r="K24" s="12"/>
      <c r="L24" s="12"/>
      <c r="M24" s="45"/>
      <c r="N24" s="42"/>
      <c r="O24" s="43"/>
      <c r="P24" s="13"/>
      <c r="Q24" s="14"/>
      <c r="R24" s="14"/>
    </row>
    <row r="25" spans="1:18" ht="15.75" customHeight="1">
      <c r="A25" s="37" t="s">
        <v>501</v>
      </c>
      <c r="B25" s="34" t="s">
        <v>50</v>
      </c>
      <c r="C25" s="36"/>
      <c r="D25" s="34" t="s">
        <v>502</v>
      </c>
      <c r="E25" s="94" t="s">
        <v>40</v>
      </c>
      <c r="F25" s="95"/>
      <c r="G25" s="17" t="s">
        <v>481</v>
      </c>
      <c r="H25" s="22" t="s">
        <v>501</v>
      </c>
      <c r="I25" s="23"/>
      <c r="J25" s="41"/>
      <c r="K25" s="12"/>
      <c r="L25" s="12"/>
      <c r="M25" s="45"/>
      <c r="N25" s="140"/>
      <c r="O25" s="141"/>
      <c r="P25" s="13"/>
      <c r="Q25" s="14"/>
      <c r="R25" s="14"/>
    </row>
    <row r="26" spans="1:18" ht="15.75" customHeight="1">
      <c r="A26" s="37" t="s">
        <v>503</v>
      </c>
      <c r="B26" s="34" t="s">
        <v>440</v>
      </c>
      <c r="C26" s="36"/>
      <c r="D26" s="16" t="s">
        <v>504</v>
      </c>
      <c r="E26" s="46" t="s">
        <v>40</v>
      </c>
      <c r="F26" s="47"/>
      <c r="G26" s="17" t="s">
        <v>481</v>
      </c>
      <c r="H26" s="22" t="s">
        <v>503</v>
      </c>
      <c r="I26" s="48"/>
      <c r="J26" s="41"/>
      <c r="K26" s="12"/>
      <c r="L26" s="12"/>
      <c r="M26" s="45"/>
      <c r="N26" s="42"/>
      <c r="O26" s="43"/>
      <c r="P26" s="13"/>
      <c r="Q26" s="14"/>
      <c r="R26" s="14"/>
    </row>
    <row r="27" spans="1:18" ht="15.75" customHeight="1">
      <c r="A27" s="37" t="s">
        <v>505</v>
      </c>
      <c r="B27" s="34" t="s">
        <v>420</v>
      </c>
      <c r="C27" s="36"/>
      <c r="D27" s="34" t="s">
        <v>506</v>
      </c>
      <c r="E27" s="94" t="s">
        <v>40</v>
      </c>
      <c r="F27" s="95"/>
      <c r="G27" s="17" t="s">
        <v>481</v>
      </c>
      <c r="H27" s="22" t="s">
        <v>505</v>
      </c>
      <c r="I27" s="23"/>
      <c r="J27" s="41"/>
      <c r="K27" s="12"/>
      <c r="L27" s="12"/>
      <c r="M27" s="45"/>
      <c r="N27" s="140"/>
      <c r="O27" s="141"/>
      <c r="P27" s="13"/>
      <c r="Q27" s="14"/>
      <c r="R27" s="14"/>
    </row>
    <row r="28" spans="1:18" ht="15.75" customHeight="1">
      <c r="A28" s="37" t="s">
        <v>507</v>
      </c>
      <c r="B28" s="34" t="s">
        <v>420</v>
      </c>
      <c r="C28" s="36"/>
      <c r="D28" s="16" t="s">
        <v>508</v>
      </c>
      <c r="E28" s="46" t="s">
        <v>40</v>
      </c>
      <c r="F28" s="47"/>
      <c r="G28" s="17" t="s">
        <v>481</v>
      </c>
      <c r="H28" s="22" t="s">
        <v>507</v>
      </c>
      <c r="I28" s="48"/>
      <c r="J28" s="41"/>
      <c r="K28" s="12"/>
      <c r="L28" s="12"/>
      <c r="M28" s="45"/>
      <c r="N28" s="42"/>
      <c r="O28" s="43"/>
      <c r="P28" s="13"/>
      <c r="Q28" s="14"/>
      <c r="R28" s="14"/>
    </row>
    <row r="29" spans="1:18" ht="15.75" customHeight="1">
      <c r="A29" s="37" t="s">
        <v>509</v>
      </c>
      <c r="B29" s="34" t="s">
        <v>420</v>
      </c>
      <c r="C29" s="36"/>
      <c r="D29" s="34" t="s">
        <v>510</v>
      </c>
      <c r="E29" s="94" t="s">
        <v>40</v>
      </c>
      <c r="F29" s="95"/>
      <c r="G29" s="17" t="s">
        <v>481</v>
      </c>
      <c r="H29" s="22" t="s">
        <v>509</v>
      </c>
      <c r="I29" s="23"/>
      <c r="J29" s="41"/>
      <c r="K29" s="12"/>
      <c r="L29" s="12"/>
      <c r="M29" s="45"/>
      <c r="N29" s="140"/>
      <c r="O29" s="141"/>
      <c r="P29" s="13"/>
      <c r="Q29" s="14"/>
      <c r="R29" s="14"/>
    </row>
    <row r="30" spans="1:18" s="18" customFormat="1" ht="15.75" customHeight="1">
      <c r="A30" s="37" t="s">
        <v>511</v>
      </c>
      <c r="B30" s="34" t="s">
        <v>50</v>
      </c>
      <c r="C30" s="36"/>
      <c r="D30" s="16" t="s">
        <v>512</v>
      </c>
      <c r="E30" s="46" t="s">
        <v>40</v>
      </c>
      <c r="F30" s="47"/>
      <c r="G30" s="17" t="s">
        <v>481</v>
      </c>
      <c r="H30" s="22" t="s">
        <v>511</v>
      </c>
      <c r="I30" s="48"/>
      <c r="J30" s="41"/>
      <c r="K30" s="12"/>
      <c r="L30" s="12"/>
      <c r="M30" s="45"/>
      <c r="N30" s="42"/>
      <c r="O30" s="43"/>
      <c r="P30" s="13"/>
      <c r="Q30" s="14"/>
      <c r="R30" s="14"/>
    </row>
    <row r="31" spans="1:18" s="18" customFormat="1" ht="15.75" customHeight="1">
      <c r="A31" s="37" t="s">
        <v>476</v>
      </c>
      <c r="B31" s="34" t="s">
        <v>420</v>
      </c>
      <c r="C31" s="36"/>
      <c r="D31" s="34" t="s">
        <v>477</v>
      </c>
      <c r="E31" s="94" t="s">
        <v>40</v>
      </c>
      <c r="F31" s="95"/>
      <c r="G31" s="17" t="s">
        <v>481</v>
      </c>
      <c r="H31" s="22" t="s">
        <v>476</v>
      </c>
      <c r="I31" s="23"/>
      <c r="J31" s="41"/>
      <c r="K31" s="12"/>
      <c r="L31" s="12"/>
      <c r="M31" s="45"/>
      <c r="N31" s="140"/>
      <c r="O31" s="141"/>
      <c r="P31" s="13"/>
      <c r="Q31" s="14"/>
      <c r="R31" s="14"/>
    </row>
    <row r="32" spans="1:18" s="18" customFormat="1" ht="15.75" customHeight="1">
      <c r="A32" s="37"/>
      <c r="B32" s="34"/>
      <c r="C32" s="36"/>
      <c r="D32" s="16"/>
      <c r="E32" s="46"/>
      <c r="F32" s="47"/>
      <c r="G32" s="17"/>
      <c r="H32" s="22"/>
      <c r="I32" s="48"/>
      <c r="J32" s="41"/>
      <c r="K32" s="12"/>
      <c r="L32" s="12"/>
      <c r="M32" s="45"/>
      <c r="N32" s="42"/>
      <c r="O32" s="43"/>
      <c r="P32" s="13"/>
      <c r="Q32" s="14"/>
      <c r="R32" s="14"/>
    </row>
    <row r="33" spans="1:18" s="18" customFormat="1" ht="15.75" customHeight="1">
      <c r="A33" s="37"/>
      <c r="B33" s="34"/>
      <c r="C33" s="36"/>
      <c r="D33" s="34"/>
      <c r="E33" s="94"/>
      <c r="F33" s="95"/>
      <c r="G33" s="17"/>
      <c r="H33" s="22"/>
      <c r="I33" s="23"/>
      <c r="J33" s="41"/>
      <c r="K33" s="12"/>
      <c r="L33" s="12"/>
      <c r="M33" s="45"/>
      <c r="N33" s="140"/>
      <c r="O33" s="141"/>
      <c r="P33" s="13"/>
      <c r="Q33" s="14"/>
      <c r="R33" s="14"/>
    </row>
    <row r="34" spans="1:18" s="18" customFormat="1" ht="15.75" customHeight="1">
      <c r="A34" s="37"/>
      <c r="B34" s="34"/>
      <c r="C34" s="36"/>
      <c r="D34" s="16"/>
      <c r="E34" s="46"/>
      <c r="F34" s="47"/>
      <c r="G34" s="17"/>
      <c r="H34" s="22"/>
      <c r="I34" s="48"/>
      <c r="J34" s="41"/>
      <c r="K34" s="12"/>
      <c r="L34" s="12"/>
      <c r="M34" s="45"/>
      <c r="N34" s="42"/>
      <c r="O34" s="43"/>
      <c r="P34" s="13"/>
      <c r="Q34" s="14"/>
      <c r="R34" s="14"/>
    </row>
    <row r="35" spans="1:18" s="18" customFormat="1" ht="15.75" customHeight="1">
      <c r="A35" s="37"/>
      <c r="B35" s="34"/>
      <c r="C35" s="36"/>
      <c r="D35" s="34"/>
      <c r="E35" s="94"/>
      <c r="F35" s="95"/>
      <c r="G35" s="17"/>
      <c r="H35" s="22"/>
      <c r="I35" s="23"/>
      <c r="J35" s="41"/>
      <c r="K35" s="12"/>
      <c r="L35" s="12"/>
      <c r="M35" s="45"/>
      <c r="N35" s="140"/>
      <c r="O35" s="141"/>
      <c r="P35" s="13"/>
      <c r="Q35" s="14"/>
      <c r="R35" s="14"/>
    </row>
    <row r="36" spans="1:18" s="18" customFormat="1" ht="15.75" customHeight="1">
      <c r="E36" s="21"/>
      <c r="F36" s="44"/>
      <c r="G36" s="27"/>
      <c r="J36"/>
      <c r="K36"/>
      <c r="L36"/>
      <c r="M36"/>
      <c r="N36"/>
      <c r="O36"/>
      <c r="P36"/>
      <c r="Q36"/>
      <c r="R36"/>
    </row>
    <row r="37" spans="1:18" s="18" customFormat="1" ht="15.75" customHeight="1">
      <c r="E37" s="21"/>
      <c r="F37" s="44"/>
      <c r="G37" s="27"/>
      <c r="J37"/>
      <c r="K37"/>
      <c r="L37"/>
      <c r="M37"/>
      <c r="N37"/>
      <c r="O37"/>
      <c r="P37"/>
      <c r="Q37"/>
      <c r="R37"/>
    </row>
    <row r="38" spans="1:18" s="18" customFormat="1" ht="15.75" customHeight="1">
      <c r="E38" s="21"/>
      <c r="F38" s="44"/>
      <c r="G38" s="27"/>
      <c r="J38"/>
      <c r="K38"/>
      <c r="L38"/>
      <c r="M38"/>
      <c r="N38"/>
      <c r="O38"/>
      <c r="P38"/>
      <c r="Q38"/>
      <c r="R38"/>
    </row>
    <row r="39" spans="1:18" s="18" customFormat="1" ht="15.75" customHeight="1">
      <c r="E39" s="21"/>
      <c r="F39" s="44"/>
      <c r="G39" s="27"/>
      <c r="J39"/>
      <c r="K39"/>
      <c r="L39"/>
      <c r="M39"/>
      <c r="N39"/>
      <c r="O39"/>
      <c r="P39"/>
      <c r="Q39"/>
      <c r="R39"/>
    </row>
    <row r="40" spans="1:18" s="18" customFormat="1" ht="15.75" customHeight="1">
      <c r="E40" s="21"/>
      <c r="F40" s="44"/>
      <c r="G40" s="27"/>
      <c r="J40"/>
      <c r="K40"/>
      <c r="L40"/>
      <c r="M40"/>
      <c r="N40"/>
      <c r="O40"/>
      <c r="P40"/>
      <c r="Q40"/>
      <c r="R40"/>
    </row>
    <row r="41" spans="1:18" s="18" customFormat="1" ht="15.75" customHeight="1">
      <c r="E41" s="21"/>
      <c r="F41" s="44"/>
      <c r="G41" s="27"/>
      <c r="J41"/>
      <c r="K41"/>
      <c r="L41"/>
      <c r="M41"/>
      <c r="N41"/>
      <c r="O41"/>
      <c r="P41"/>
      <c r="Q41"/>
      <c r="R41"/>
    </row>
    <row r="42" spans="1:18" s="18" customFormat="1" ht="15.75" customHeight="1">
      <c r="E42" s="21"/>
      <c r="F42" s="44"/>
      <c r="G42" s="27"/>
      <c r="J42"/>
      <c r="K42"/>
      <c r="L42"/>
      <c r="M42"/>
      <c r="N42"/>
      <c r="O42"/>
      <c r="P42"/>
      <c r="Q42"/>
      <c r="R42"/>
    </row>
    <row r="43" spans="1:18" s="18" customFormat="1" ht="15.75" customHeight="1">
      <c r="E43" s="21"/>
      <c r="F43" s="44"/>
      <c r="G43" s="27"/>
      <c r="J43"/>
      <c r="K43"/>
      <c r="L43"/>
      <c r="M43"/>
      <c r="N43"/>
      <c r="O43"/>
      <c r="P43"/>
      <c r="Q43"/>
      <c r="R43"/>
    </row>
    <row r="44" spans="1:18" s="18" customFormat="1" ht="15.75" customHeight="1">
      <c r="E44" s="21"/>
      <c r="F44" s="44"/>
      <c r="G44" s="27"/>
      <c r="J44"/>
      <c r="K44"/>
      <c r="L44"/>
      <c r="M44"/>
      <c r="N44"/>
      <c r="O44"/>
      <c r="P44"/>
      <c r="Q44"/>
      <c r="R44"/>
    </row>
    <row r="45" spans="1:18" s="18" customFormat="1" ht="15.75" customHeight="1">
      <c r="E45" s="21"/>
      <c r="F45" s="44"/>
      <c r="G45" s="27"/>
      <c r="J45"/>
      <c r="K45"/>
      <c r="L45"/>
      <c r="M45"/>
      <c r="N45"/>
      <c r="O45"/>
      <c r="P45"/>
      <c r="Q45"/>
      <c r="R45"/>
    </row>
    <row r="46" spans="1:18" s="18" customFormat="1" ht="15.75" customHeight="1">
      <c r="E46" s="21"/>
      <c r="F46" s="44"/>
      <c r="G46" s="27"/>
      <c r="J46"/>
      <c r="K46"/>
      <c r="L46"/>
      <c r="M46"/>
      <c r="N46"/>
      <c r="O46"/>
      <c r="P46"/>
      <c r="Q46"/>
      <c r="R46"/>
    </row>
    <row r="47" spans="1:18" s="18" customFormat="1" ht="15.75" customHeight="1">
      <c r="E47" s="21"/>
      <c r="F47" s="44"/>
      <c r="G47" s="27"/>
      <c r="J47"/>
      <c r="K47"/>
      <c r="L47"/>
      <c r="M47"/>
      <c r="N47"/>
      <c r="O47"/>
      <c r="P47"/>
      <c r="Q47"/>
      <c r="R47"/>
    </row>
    <row r="48" spans="1:18" s="18" customFormat="1" ht="15.75" customHeight="1">
      <c r="E48" s="21"/>
      <c r="F48" s="44"/>
      <c r="G48" s="27"/>
      <c r="J48"/>
      <c r="K48"/>
      <c r="L48"/>
      <c r="M48"/>
      <c r="N48"/>
      <c r="O48"/>
      <c r="P48"/>
      <c r="Q48"/>
      <c r="R48"/>
    </row>
    <row r="49" spans="5:18" s="18" customFormat="1" ht="15.75" customHeight="1">
      <c r="E49" s="21"/>
      <c r="F49" s="44"/>
      <c r="G49" s="27"/>
      <c r="J49"/>
      <c r="K49"/>
      <c r="L49"/>
      <c r="M49"/>
      <c r="N49"/>
      <c r="O49"/>
      <c r="P49"/>
      <c r="Q49"/>
      <c r="R49"/>
    </row>
    <row r="50" spans="5:18" s="18" customFormat="1" ht="15.75" customHeight="1">
      <c r="E50" s="21"/>
      <c r="F50" s="44"/>
      <c r="G50" s="27"/>
      <c r="J50"/>
      <c r="K50"/>
      <c r="L50"/>
      <c r="M50"/>
      <c r="N50"/>
      <c r="O50"/>
      <c r="P50"/>
      <c r="Q50"/>
      <c r="R50"/>
    </row>
    <row r="51" spans="5:18" s="18" customFormat="1" ht="15.75" customHeight="1">
      <c r="E51" s="21"/>
      <c r="F51" s="44"/>
      <c r="G51" s="27"/>
      <c r="J51"/>
      <c r="K51"/>
      <c r="L51"/>
      <c r="M51"/>
      <c r="N51"/>
      <c r="O51"/>
      <c r="P51"/>
      <c r="Q51"/>
      <c r="R51"/>
    </row>
    <row r="52" spans="5:18" s="18" customFormat="1" ht="15.75" customHeight="1">
      <c r="E52" s="21"/>
      <c r="F52" s="44"/>
      <c r="G52" s="27"/>
      <c r="J52"/>
      <c r="K52"/>
      <c r="L52"/>
      <c r="M52"/>
      <c r="N52"/>
      <c r="O52"/>
      <c r="P52"/>
      <c r="Q52"/>
      <c r="R52"/>
    </row>
    <row r="53" spans="5:18" s="18" customFormat="1" ht="15.75" customHeight="1">
      <c r="E53" s="21"/>
      <c r="F53" s="44"/>
      <c r="G53" s="27"/>
      <c r="J53"/>
      <c r="K53"/>
      <c r="L53"/>
      <c r="M53"/>
      <c r="N53"/>
      <c r="O53"/>
      <c r="P53"/>
      <c r="Q53"/>
      <c r="R53"/>
    </row>
    <row r="54" spans="5:18" s="18" customFormat="1" ht="15.75" customHeight="1">
      <c r="E54" s="21"/>
      <c r="F54" s="44"/>
      <c r="G54" s="27"/>
      <c r="J54"/>
      <c r="K54"/>
      <c r="L54"/>
      <c r="M54"/>
      <c r="N54"/>
      <c r="O54"/>
      <c r="P54"/>
      <c r="Q54"/>
      <c r="R54"/>
    </row>
    <row r="55" spans="5:18" s="18" customFormat="1" ht="15.75" customHeight="1">
      <c r="E55" s="21"/>
      <c r="F55" s="44"/>
      <c r="G55" s="27"/>
      <c r="J55"/>
      <c r="K55"/>
      <c r="L55"/>
      <c r="M55"/>
      <c r="N55"/>
      <c r="O55"/>
      <c r="P55"/>
      <c r="Q55"/>
      <c r="R55"/>
    </row>
    <row r="56" spans="5:18" s="18" customFormat="1" ht="15.75" customHeight="1">
      <c r="E56" s="21"/>
      <c r="F56" s="44"/>
      <c r="G56" s="27"/>
      <c r="J56"/>
      <c r="K56"/>
      <c r="L56"/>
      <c r="M56"/>
      <c r="N56"/>
      <c r="O56"/>
      <c r="P56"/>
      <c r="Q56"/>
      <c r="R56"/>
    </row>
    <row r="57" spans="5:18" s="18" customFormat="1" ht="15.75" customHeight="1">
      <c r="E57" s="21"/>
      <c r="F57" s="44"/>
      <c r="G57" s="27"/>
      <c r="J57"/>
      <c r="K57"/>
      <c r="L57"/>
      <c r="M57"/>
      <c r="N57"/>
      <c r="O57"/>
      <c r="P57"/>
      <c r="Q57"/>
      <c r="R57"/>
    </row>
    <row r="58" spans="5:18" s="18" customFormat="1" ht="15.75" customHeight="1">
      <c r="E58" s="21"/>
      <c r="F58" s="44"/>
      <c r="G58" s="27"/>
      <c r="J58"/>
      <c r="K58"/>
      <c r="L58"/>
      <c r="M58"/>
      <c r="N58"/>
      <c r="O58"/>
      <c r="P58"/>
      <c r="Q58"/>
      <c r="R58"/>
    </row>
    <row r="59" spans="5:18" s="18" customFormat="1" ht="15.75" customHeight="1">
      <c r="E59" s="21"/>
      <c r="F59" s="44"/>
      <c r="G59" s="27"/>
      <c r="J59"/>
      <c r="K59"/>
      <c r="L59"/>
      <c r="M59"/>
      <c r="N59"/>
      <c r="O59"/>
      <c r="P59"/>
      <c r="Q59"/>
      <c r="R59"/>
    </row>
    <row r="60" spans="5:18" s="18" customFormat="1" ht="15.75" customHeight="1">
      <c r="E60" s="21"/>
      <c r="F60" s="44"/>
      <c r="G60" s="27"/>
      <c r="J60"/>
      <c r="K60"/>
      <c r="L60"/>
      <c r="M60"/>
      <c r="N60"/>
      <c r="O60"/>
      <c r="P60"/>
      <c r="Q60"/>
      <c r="R60"/>
    </row>
    <row r="61" spans="5:18" s="18" customFormat="1" ht="15.75" customHeight="1">
      <c r="E61" s="21"/>
      <c r="F61" s="44"/>
      <c r="G61" s="27"/>
      <c r="J61"/>
      <c r="K61"/>
      <c r="L61"/>
      <c r="M61"/>
      <c r="N61"/>
      <c r="O61"/>
      <c r="P61"/>
      <c r="Q61"/>
      <c r="R61"/>
    </row>
    <row r="62" spans="5:18" s="18" customFormat="1" ht="15.75" customHeight="1">
      <c r="E62" s="21"/>
      <c r="F62" s="44"/>
      <c r="G62" s="27"/>
      <c r="J62"/>
      <c r="K62"/>
      <c r="L62"/>
      <c r="M62"/>
      <c r="N62"/>
      <c r="O62"/>
      <c r="P62"/>
      <c r="Q62"/>
      <c r="R62"/>
    </row>
    <row r="63" spans="5:18" s="18" customFormat="1" ht="15.75" customHeight="1">
      <c r="E63" s="21"/>
      <c r="F63" s="44"/>
      <c r="G63" s="27"/>
      <c r="J63"/>
      <c r="K63"/>
      <c r="L63"/>
      <c r="M63"/>
      <c r="N63"/>
      <c r="O63"/>
      <c r="P63"/>
      <c r="Q63"/>
      <c r="R63"/>
    </row>
    <row r="64" spans="5:18" s="18" customFormat="1" ht="15.75" customHeight="1">
      <c r="E64" s="21"/>
      <c r="F64" s="44"/>
      <c r="G64" s="27"/>
      <c r="J64"/>
      <c r="K64"/>
      <c r="L64"/>
      <c r="M64"/>
      <c r="N64"/>
      <c r="O64"/>
      <c r="P64"/>
      <c r="Q64"/>
      <c r="R64"/>
    </row>
    <row r="65" spans="5:18" s="18" customFormat="1" ht="15.75" customHeight="1">
      <c r="E65" s="21"/>
      <c r="F65" s="44"/>
      <c r="G65" s="27"/>
      <c r="J65"/>
      <c r="K65"/>
      <c r="L65"/>
      <c r="M65"/>
      <c r="N65"/>
      <c r="O65"/>
      <c r="P65"/>
      <c r="Q65"/>
      <c r="R65"/>
    </row>
    <row r="66" spans="5:18" s="18" customFormat="1" ht="15.75" customHeight="1">
      <c r="E66" s="21"/>
      <c r="F66" s="44"/>
      <c r="G66" s="27"/>
      <c r="J66"/>
      <c r="K66"/>
      <c r="L66"/>
      <c r="M66"/>
      <c r="N66"/>
      <c r="O66"/>
      <c r="P66"/>
      <c r="Q66"/>
      <c r="R66"/>
    </row>
    <row r="67" spans="5:18" s="18" customFormat="1" ht="15.75" customHeight="1">
      <c r="E67" s="21"/>
      <c r="F67" s="44"/>
      <c r="G67" s="27"/>
      <c r="J67"/>
      <c r="K67"/>
      <c r="L67"/>
      <c r="M67"/>
      <c r="N67"/>
      <c r="O67"/>
      <c r="P67"/>
      <c r="Q67"/>
      <c r="R67"/>
    </row>
    <row r="68" spans="5:18" s="18" customFormat="1" ht="15.75" customHeight="1">
      <c r="E68" s="21"/>
      <c r="F68" s="44"/>
      <c r="G68" s="27"/>
      <c r="J68"/>
      <c r="K68"/>
      <c r="L68"/>
      <c r="M68"/>
      <c r="N68"/>
      <c r="O68"/>
      <c r="P68"/>
      <c r="Q68"/>
      <c r="R68"/>
    </row>
    <row r="69" spans="5:18" s="18" customFormat="1" ht="15.75" customHeight="1">
      <c r="E69" s="21"/>
      <c r="F69" s="44"/>
      <c r="G69" s="27"/>
      <c r="J69"/>
      <c r="K69"/>
      <c r="L69"/>
      <c r="M69"/>
      <c r="N69"/>
      <c r="O69"/>
      <c r="P69"/>
      <c r="Q69"/>
      <c r="R69"/>
    </row>
    <row r="70" spans="5:18" s="18" customFormat="1" ht="15.75" customHeight="1">
      <c r="E70" s="21"/>
      <c r="F70" s="44"/>
      <c r="G70" s="27"/>
      <c r="J70"/>
      <c r="K70"/>
      <c r="L70"/>
      <c r="M70"/>
      <c r="N70"/>
      <c r="O70"/>
      <c r="P70"/>
      <c r="Q70"/>
      <c r="R70"/>
    </row>
    <row r="71" spans="5:18" s="18" customFormat="1" ht="15.75" customHeight="1">
      <c r="E71" s="21"/>
      <c r="F71" s="44"/>
      <c r="G71" s="27"/>
      <c r="J71"/>
      <c r="K71"/>
      <c r="L71"/>
      <c r="M71"/>
      <c r="N71"/>
      <c r="O71"/>
      <c r="P71"/>
      <c r="Q71"/>
      <c r="R71"/>
    </row>
    <row r="72" spans="5:18" s="18" customFormat="1" ht="15.75" customHeight="1">
      <c r="E72" s="21"/>
      <c r="F72" s="44"/>
      <c r="G72" s="27"/>
      <c r="J72"/>
      <c r="K72"/>
      <c r="L72"/>
      <c r="M72"/>
      <c r="N72"/>
      <c r="O72"/>
      <c r="P72"/>
      <c r="Q72"/>
      <c r="R72"/>
    </row>
    <row r="73" spans="5:18" s="18" customFormat="1" ht="15.75" customHeight="1">
      <c r="E73" s="21"/>
      <c r="F73" s="44"/>
      <c r="G73" s="27"/>
      <c r="J73"/>
      <c r="K73"/>
      <c r="L73"/>
      <c r="M73"/>
      <c r="N73"/>
      <c r="O73"/>
      <c r="P73"/>
      <c r="Q73"/>
      <c r="R73"/>
    </row>
    <row r="74" spans="5:18" s="18" customFormat="1" ht="15.75" customHeight="1">
      <c r="E74" s="21"/>
      <c r="F74" s="44"/>
      <c r="G74" s="27"/>
      <c r="J74"/>
      <c r="K74"/>
      <c r="L74"/>
      <c r="M74"/>
      <c r="N74"/>
      <c r="O74"/>
      <c r="P74"/>
      <c r="Q74"/>
      <c r="R74"/>
    </row>
    <row r="75" spans="5:18" s="18" customFormat="1" ht="15.75" customHeight="1">
      <c r="E75" s="21"/>
      <c r="F75" s="44"/>
      <c r="G75" s="27"/>
      <c r="J75"/>
      <c r="K75"/>
      <c r="L75"/>
      <c r="M75"/>
      <c r="N75"/>
      <c r="O75"/>
      <c r="P75"/>
      <c r="Q75"/>
      <c r="R75"/>
    </row>
    <row r="76" spans="5:18" s="18" customFormat="1" ht="15.75" customHeight="1">
      <c r="E76" s="21"/>
      <c r="F76" s="44"/>
      <c r="G76" s="27"/>
      <c r="J76"/>
      <c r="K76"/>
      <c r="L76"/>
      <c r="M76"/>
      <c r="N76"/>
      <c r="O76"/>
      <c r="P76"/>
      <c r="Q76"/>
      <c r="R76"/>
    </row>
    <row r="77" spans="5:18" s="18" customFormat="1" ht="15.75" customHeight="1">
      <c r="E77" s="21"/>
      <c r="F77" s="44"/>
      <c r="G77" s="27"/>
      <c r="J77"/>
      <c r="K77"/>
      <c r="L77"/>
      <c r="M77"/>
      <c r="N77"/>
      <c r="O77"/>
      <c r="P77"/>
      <c r="Q77"/>
      <c r="R77"/>
    </row>
    <row r="78" spans="5:18" s="18" customFormat="1" ht="15.75" customHeight="1">
      <c r="E78" s="21"/>
      <c r="F78" s="44"/>
      <c r="G78" s="27"/>
      <c r="J78"/>
      <c r="K78"/>
      <c r="L78"/>
      <c r="M78"/>
      <c r="N78"/>
      <c r="O78"/>
      <c r="P78"/>
      <c r="Q78"/>
      <c r="R78"/>
    </row>
    <row r="79" spans="5:18" s="18" customFormat="1" ht="15.75" customHeight="1">
      <c r="E79" s="21"/>
      <c r="F79" s="44"/>
      <c r="G79" s="27"/>
      <c r="J79"/>
      <c r="K79"/>
      <c r="L79"/>
      <c r="M79"/>
      <c r="N79"/>
      <c r="O79"/>
      <c r="P79"/>
      <c r="Q79"/>
      <c r="R79"/>
    </row>
    <row r="80" spans="5:18" s="18" customFormat="1" ht="15.75" customHeight="1">
      <c r="E80" s="21"/>
      <c r="F80" s="44"/>
      <c r="G80" s="27"/>
      <c r="J80"/>
      <c r="K80"/>
      <c r="L80"/>
      <c r="M80"/>
      <c r="N80"/>
      <c r="O80"/>
      <c r="P80"/>
      <c r="Q80"/>
      <c r="R80"/>
    </row>
    <row r="81" spans="5:18" s="18" customFormat="1" ht="15.75" customHeight="1">
      <c r="E81" s="21"/>
      <c r="F81" s="44"/>
      <c r="G81" s="27"/>
      <c r="J81"/>
      <c r="K81"/>
      <c r="L81"/>
      <c r="M81"/>
      <c r="N81"/>
      <c r="O81"/>
      <c r="P81"/>
      <c r="Q81"/>
      <c r="R81"/>
    </row>
    <row r="82" spans="5:18" s="18" customFormat="1" ht="15.75" customHeight="1">
      <c r="E82" s="21"/>
      <c r="F82" s="44"/>
      <c r="G82" s="27"/>
      <c r="J82"/>
      <c r="K82"/>
      <c r="L82"/>
      <c r="M82"/>
      <c r="N82"/>
      <c r="O82"/>
      <c r="P82"/>
      <c r="Q82"/>
      <c r="R82"/>
    </row>
    <row r="83" spans="5:18" s="18" customFormat="1" ht="15.75" customHeight="1">
      <c r="E83" s="21"/>
      <c r="F83" s="44"/>
      <c r="G83" s="27"/>
      <c r="J83"/>
      <c r="K83"/>
      <c r="L83"/>
      <c r="M83"/>
      <c r="N83"/>
      <c r="O83"/>
      <c r="P83"/>
      <c r="Q83"/>
      <c r="R83"/>
    </row>
    <row r="84" spans="5:18" s="18" customFormat="1" ht="15.75" customHeight="1">
      <c r="E84" s="21"/>
      <c r="F84" s="44"/>
      <c r="G84" s="27"/>
      <c r="J84"/>
      <c r="K84"/>
      <c r="L84"/>
      <c r="M84"/>
      <c r="N84"/>
      <c r="O84"/>
      <c r="P84"/>
      <c r="Q84"/>
      <c r="R84"/>
    </row>
    <row r="85" spans="5:18" s="18" customFormat="1" ht="15.75" customHeight="1">
      <c r="E85" s="21"/>
      <c r="F85" s="44"/>
      <c r="G85" s="27"/>
      <c r="J85"/>
      <c r="K85"/>
      <c r="L85"/>
      <c r="M85"/>
      <c r="N85"/>
      <c r="O85"/>
      <c r="P85"/>
      <c r="Q85"/>
      <c r="R85"/>
    </row>
    <row r="86" spans="5:18" s="18" customFormat="1" ht="15.75" customHeight="1">
      <c r="E86" s="21"/>
      <c r="F86" s="44"/>
      <c r="G86" s="27"/>
      <c r="J86"/>
      <c r="K86"/>
      <c r="L86"/>
      <c r="M86"/>
      <c r="N86"/>
      <c r="O86"/>
      <c r="P86"/>
      <c r="Q86"/>
      <c r="R86"/>
    </row>
    <row r="87" spans="5:18" s="18" customFormat="1" ht="15.75" customHeight="1">
      <c r="E87" s="21"/>
      <c r="F87" s="44"/>
      <c r="G87" s="27"/>
      <c r="J87"/>
      <c r="K87"/>
      <c r="L87"/>
      <c r="M87"/>
      <c r="N87"/>
      <c r="O87"/>
      <c r="P87"/>
      <c r="Q87"/>
      <c r="R87"/>
    </row>
    <row r="88" spans="5:18" s="18" customFormat="1" ht="15.75" customHeight="1">
      <c r="E88" s="21"/>
      <c r="F88" s="44"/>
      <c r="G88" s="27"/>
      <c r="J88"/>
      <c r="K88"/>
      <c r="L88"/>
      <c r="M88"/>
      <c r="N88"/>
      <c r="O88"/>
      <c r="P88"/>
      <c r="Q88"/>
      <c r="R88"/>
    </row>
    <row r="89" spans="5:18" s="18" customFormat="1" ht="15.75" customHeight="1">
      <c r="E89" s="21"/>
      <c r="F89" s="44"/>
      <c r="G89" s="27"/>
      <c r="J89"/>
      <c r="K89"/>
      <c r="L89"/>
      <c r="M89"/>
      <c r="N89"/>
      <c r="O89"/>
      <c r="P89"/>
      <c r="Q89"/>
      <c r="R89"/>
    </row>
    <row r="90" spans="5:18" s="18" customFormat="1" ht="15.75" customHeight="1">
      <c r="E90" s="21"/>
      <c r="F90" s="44"/>
      <c r="G90" s="27"/>
      <c r="J90"/>
      <c r="K90"/>
      <c r="L90"/>
      <c r="M90"/>
      <c r="N90"/>
      <c r="O90"/>
      <c r="P90"/>
      <c r="Q90"/>
      <c r="R90"/>
    </row>
    <row r="91" spans="5:18" s="18" customFormat="1" ht="15.75" customHeight="1">
      <c r="E91" s="21"/>
      <c r="F91" s="44"/>
      <c r="G91" s="27"/>
      <c r="J91"/>
      <c r="K91"/>
      <c r="L91"/>
      <c r="M91"/>
      <c r="N91"/>
      <c r="O91"/>
      <c r="P91"/>
      <c r="Q91"/>
      <c r="R91"/>
    </row>
    <row r="92" spans="5:18" s="18" customFormat="1" ht="15.75" customHeight="1">
      <c r="E92" s="21"/>
      <c r="F92" s="44"/>
      <c r="G92" s="27"/>
      <c r="J92"/>
      <c r="K92"/>
      <c r="L92"/>
      <c r="M92"/>
      <c r="N92"/>
      <c r="O92"/>
      <c r="P92"/>
      <c r="Q92"/>
      <c r="R92"/>
    </row>
    <row r="93" spans="5:18" s="18" customFormat="1" ht="15.75" customHeight="1">
      <c r="E93" s="21"/>
      <c r="F93" s="44"/>
      <c r="G93" s="27"/>
      <c r="J93"/>
      <c r="K93"/>
      <c r="L93"/>
      <c r="M93"/>
      <c r="N93"/>
      <c r="O93"/>
      <c r="P93"/>
      <c r="Q93"/>
      <c r="R93"/>
    </row>
    <row r="94" spans="5:18" s="18" customFormat="1" ht="15.75" customHeight="1">
      <c r="E94" s="21"/>
      <c r="F94" s="44"/>
      <c r="G94" s="27"/>
      <c r="J94"/>
      <c r="K94"/>
      <c r="L94"/>
      <c r="M94"/>
      <c r="N94"/>
      <c r="O94"/>
      <c r="P94"/>
      <c r="Q94"/>
      <c r="R94"/>
    </row>
    <row r="95" spans="5:18" s="18" customFormat="1" ht="15.75" customHeight="1">
      <c r="E95" s="21"/>
      <c r="F95" s="44"/>
      <c r="G95" s="27"/>
      <c r="J95"/>
      <c r="K95"/>
      <c r="L95"/>
      <c r="M95"/>
      <c r="N95"/>
      <c r="O95"/>
      <c r="P95"/>
      <c r="Q95"/>
      <c r="R95"/>
    </row>
    <row r="96" spans="5:18" s="18" customFormat="1" ht="15.75" customHeight="1">
      <c r="E96" s="21"/>
      <c r="F96" s="44"/>
      <c r="G96" s="27"/>
      <c r="J96"/>
      <c r="K96"/>
      <c r="L96"/>
      <c r="M96"/>
      <c r="N96"/>
      <c r="O96"/>
      <c r="P96"/>
      <c r="Q96"/>
      <c r="R96"/>
    </row>
    <row r="97" spans="5:18" s="18" customFormat="1" ht="15.75" customHeight="1">
      <c r="E97" s="21"/>
      <c r="F97" s="44"/>
      <c r="G97" s="27"/>
      <c r="J97"/>
      <c r="K97"/>
      <c r="L97"/>
      <c r="M97"/>
      <c r="N97"/>
      <c r="O97"/>
      <c r="P97"/>
      <c r="Q97"/>
      <c r="R97"/>
    </row>
    <row r="98" spans="5:18" s="18" customFormat="1" ht="15.75" customHeight="1">
      <c r="E98" s="21"/>
      <c r="F98" s="44"/>
      <c r="G98" s="27"/>
      <c r="J98"/>
      <c r="K98"/>
      <c r="L98"/>
      <c r="M98"/>
      <c r="N98"/>
      <c r="O98"/>
      <c r="P98"/>
      <c r="Q98"/>
      <c r="R98"/>
    </row>
    <row r="99" spans="5:18" s="18" customFormat="1" ht="15.75" customHeight="1">
      <c r="E99" s="21"/>
      <c r="F99" s="44"/>
      <c r="G99" s="27"/>
      <c r="J99"/>
      <c r="K99"/>
      <c r="L99"/>
      <c r="M99"/>
      <c r="N99"/>
      <c r="O99"/>
      <c r="P99"/>
      <c r="Q99"/>
      <c r="R99"/>
    </row>
    <row r="100" spans="5:18" s="18" customFormat="1" ht="15.75" customHeight="1">
      <c r="E100" s="21"/>
      <c r="F100" s="44"/>
      <c r="G100" s="27"/>
      <c r="J100"/>
      <c r="K100"/>
      <c r="L100"/>
      <c r="M100"/>
      <c r="N100"/>
      <c r="O100"/>
      <c r="P100"/>
      <c r="Q100"/>
      <c r="R100"/>
    </row>
    <row r="101" spans="5:18" s="18" customFormat="1" ht="15.75" customHeight="1">
      <c r="E101" s="21"/>
      <c r="F101" s="44"/>
      <c r="G101" s="27"/>
      <c r="J101"/>
      <c r="K101"/>
      <c r="L101"/>
      <c r="M101"/>
      <c r="N101"/>
      <c r="O101"/>
      <c r="P101"/>
      <c r="Q101"/>
      <c r="R101"/>
    </row>
    <row r="102" spans="5:18" s="18" customFormat="1" ht="15.75" customHeight="1">
      <c r="E102" s="21"/>
      <c r="F102" s="44"/>
      <c r="G102" s="27"/>
      <c r="J102"/>
      <c r="K102"/>
      <c r="L102"/>
      <c r="M102"/>
      <c r="N102"/>
      <c r="O102"/>
      <c r="P102"/>
      <c r="Q102"/>
      <c r="R102"/>
    </row>
    <row r="103" spans="5:18" s="18" customFormat="1" ht="15.75" customHeight="1">
      <c r="E103" s="21"/>
      <c r="F103" s="44"/>
      <c r="G103" s="27"/>
      <c r="J103"/>
      <c r="K103"/>
      <c r="L103"/>
      <c r="M103"/>
      <c r="N103"/>
      <c r="O103"/>
      <c r="P103"/>
      <c r="Q103"/>
      <c r="R103"/>
    </row>
    <row r="104" spans="5:18" s="18" customFormat="1" ht="15.75" customHeight="1">
      <c r="E104" s="21"/>
      <c r="F104" s="44"/>
      <c r="G104" s="27"/>
      <c r="J104"/>
      <c r="K104"/>
      <c r="L104"/>
      <c r="M104"/>
      <c r="N104"/>
      <c r="O104"/>
      <c r="P104"/>
      <c r="Q104"/>
      <c r="R104"/>
    </row>
    <row r="105" spans="5:18" s="18" customFormat="1" ht="15.75" customHeight="1">
      <c r="E105" s="21"/>
      <c r="F105" s="44"/>
      <c r="G105" s="27"/>
      <c r="J105"/>
      <c r="K105"/>
      <c r="L105"/>
      <c r="M105"/>
      <c r="N105"/>
      <c r="O105"/>
      <c r="P105"/>
      <c r="Q105"/>
      <c r="R105"/>
    </row>
    <row r="106" spans="5:18" s="18" customFormat="1" ht="15.75" customHeight="1">
      <c r="E106" s="21"/>
      <c r="F106" s="44"/>
      <c r="G106" s="27"/>
      <c r="J106"/>
      <c r="K106"/>
      <c r="L106"/>
      <c r="M106"/>
      <c r="N106"/>
      <c r="O106"/>
      <c r="P106"/>
      <c r="Q106"/>
      <c r="R106"/>
    </row>
    <row r="107" spans="5:18" s="18" customFormat="1" ht="15.75" customHeight="1">
      <c r="E107" s="21"/>
      <c r="F107" s="44"/>
      <c r="G107" s="27"/>
      <c r="J107"/>
      <c r="K107"/>
      <c r="L107"/>
      <c r="M107"/>
      <c r="N107"/>
      <c r="O107"/>
      <c r="P107"/>
      <c r="Q107"/>
      <c r="R107"/>
    </row>
    <row r="108" spans="5:18" s="18" customFormat="1" ht="15.75" customHeight="1">
      <c r="E108" s="21"/>
      <c r="F108" s="44"/>
      <c r="G108" s="27"/>
      <c r="J108"/>
      <c r="K108"/>
      <c r="L108"/>
      <c r="M108"/>
      <c r="N108"/>
      <c r="O108"/>
      <c r="P108"/>
      <c r="Q108"/>
      <c r="R108"/>
    </row>
    <row r="109" spans="5:18" s="18" customFormat="1" ht="15.75" customHeight="1">
      <c r="E109" s="21"/>
      <c r="F109" s="44"/>
      <c r="G109" s="27"/>
      <c r="J109"/>
      <c r="K109"/>
      <c r="L109"/>
      <c r="M109"/>
      <c r="N109"/>
      <c r="O109"/>
      <c r="P109"/>
      <c r="Q109"/>
      <c r="R109"/>
    </row>
    <row r="110" spans="5:18" s="18" customFormat="1" ht="15.75" customHeight="1">
      <c r="E110" s="21"/>
      <c r="F110" s="44"/>
      <c r="G110" s="27"/>
      <c r="J110"/>
      <c r="K110"/>
      <c r="L110"/>
      <c r="M110"/>
      <c r="N110"/>
      <c r="O110"/>
      <c r="P110"/>
      <c r="Q110"/>
      <c r="R110"/>
    </row>
    <row r="111" spans="5:18" s="18" customFormat="1" ht="15.75" customHeight="1">
      <c r="E111" s="21"/>
      <c r="F111" s="44"/>
      <c r="G111" s="27"/>
      <c r="J111"/>
      <c r="K111"/>
      <c r="L111"/>
      <c r="M111"/>
      <c r="N111"/>
      <c r="O111"/>
      <c r="P111"/>
      <c r="Q111"/>
      <c r="R111"/>
    </row>
    <row r="112" spans="5:18" s="18" customFormat="1" ht="15.75" customHeight="1">
      <c r="E112" s="21"/>
      <c r="F112" s="44"/>
      <c r="G112" s="27"/>
      <c r="J112"/>
      <c r="K112"/>
      <c r="L112"/>
      <c r="M112"/>
      <c r="N112"/>
      <c r="O112"/>
      <c r="P112"/>
      <c r="Q112"/>
      <c r="R112"/>
    </row>
    <row r="113" spans="5:18" s="18" customFormat="1" ht="15.75" customHeight="1">
      <c r="E113" s="21"/>
      <c r="F113" s="44"/>
      <c r="G113" s="27"/>
      <c r="J113"/>
      <c r="K113"/>
      <c r="L113"/>
      <c r="M113"/>
      <c r="N113"/>
      <c r="O113"/>
      <c r="P113"/>
      <c r="Q113"/>
      <c r="R113"/>
    </row>
    <row r="114" spans="5:18" s="18" customFormat="1" ht="15.75" customHeight="1">
      <c r="E114" s="21"/>
      <c r="F114" s="44"/>
      <c r="G114" s="27"/>
      <c r="J114"/>
      <c r="K114"/>
      <c r="L114"/>
      <c r="M114"/>
      <c r="N114"/>
      <c r="O114"/>
      <c r="P114"/>
      <c r="Q114"/>
      <c r="R114"/>
    </row>
    <row r="115" spans="5:18" s="18" customFormat="1" ht="15.75" customHeight="1">
      <c r="E115" s="21"/>
      <c r="F115" s="44"/>
      <c r="G115" s="27"/>
      <c r="J115"/>
      <c r="K115"/>
      <c r="L115"/>
      <c r="M115"/>
      <c r="N115"/>
      <c r="O115"/>
      <c r="P115"/>
      <c r="Q115"/>
      <c r="R115"/>
    </row>
    <row r="116" spans="5:18" s="18" customFormat="1" ht="15.75" customHeight="1">
      <c r="E116" s="21"/>
      <c r="F116" s="44"/>
      <c r="G116" s="27"/>
      <c r="J116"/>
      <c r="K116"/>
      <c r="L116"/>
      <c r="M116"/>
      <c r="N116"/>
      <c r="O116"/>
      <c r="P116"/>
      <c r="Q116"/>
      <c r="R116"/>
    </row>
    <row r="117" spans="5:18" s="18" customFormat="1" ht="15.75" customHeight="1">
      <c r="E117" s="21"/>
      <c r="F117" s="44"/>
      <c r="G117" s="27"/>
      <c r="J117"/>
      <c r="K117"/>
      <c r="L117"/>
      <c r="M117"/>
      <c r="N117"/>
      <c r="O117"/>
      <c r="P117"/>
      <c r="Q117"/>
      <c r="R117"/>
    </row>
    <row r="118" spans="5:18" s="18" customFormat="1" ht="15.75" customHeight="1">
      <c r="E118" s="21"/>
      <c r="F118" s="44"/>
      <c r="G118" s="27"/>
      <c r="J118"/>
      <c r="K118"/>
      <c r="L118"/>
      <c r="M118"/>
      <c r="N118"/>
      <c r="O118"/>
      <c r="P118"/>
      <c r="Q118"/>
      <c r="R118"/>
    </row>
    <row r="119" spans="5:18" s="18" customFormat="1" ht="15.75" customHeight="1">
      <c r="E119" s="21"/>
      <c r="F119" s="44"/>
      <c r="G119" s="27"/>
      <c r="J119"/>
      <c r="K119"/>
      <c r="L119"/>
      <c r="M119"/>
      <c r="N119"/>
      <c r="O119"/>
      <c r="P119"/>
      <c r="Q119"/>
      <c r="R119"/>
    </row>
    <row r="120" spans="5:18" s="18" customFormat="1" ht="15.75" customHeight="1">
      <c r="E120" s="21"/>
      <c r="F120" s="44"/>
      <c r="G120" s="27"/>
      <c r="J120"/>
      <c r="K120"/>
      <c r="L120"/>
      <c r="M120"/>
      <c r="N120"/>
      <c r="O120"/>
      <c r="P120"/>
      <c r="Q120"/>
      <c r="R120"/>
    </row>
    <row r="121" spans="5:18" s="18" customFormat="1" ht="15.75" customHeight="1">
      <c r="E121" s="21"/>
      <c r="F121" s="44"/>
      <c r="G121" s="27"/>
      <c r="J121"/>
      <c r="K121"/>
      <c r="L121"/>
      <c r="M121"/>
      <c r="N121"/>
      <c r="O121"/>
      <c r="P121"/>
      <c r="Q121"/>
      <c r="R121"/>
    </row>
    <row r="122" spans="5:18" s="18" customFormat="1" ht="15.75" customHeight="1">
      <c r="E122" s="21"/>
      <c r="F122" s="44"/>
      <c r="G122" s="27"/>
      <c r="J122"/>
      <c r="K122"/>
      <c r="L122"/>
      <c r="M122"/>
      <c r="N122"/>
      <c r="O122"/>
      <c r="P122"/>
      <c r="Q122"/>
      <c r="R122"/>
    </row>
    <row r="123" spans="5:18" s="18" customFormat="1" ht="15.75" customHeight="1">
      <c r="E123" s="21"/>
      <c r="F123" s="44"/>
      <c r="G123" s="27"/>
      <c r="J123"/>
      <c r="K123"/>
      <c r="L123"/>
      <c r="M123"/>
      <c r="N123"/>
      <c r="O123"/>
      <c r="P123"/>
      <c r="Q123"/>
      <c r="R123"/>
    </row>
    <row r="124" spans="5:18" s="18" customFormat="1" ht="15.75" customHeight="1">
      <c r="E124" s="21"/>
      <c r="F124" s="44"/>
      <c r="G124" s="27"/>
      <c r="J124"/>
      <c r="K124"/>
      <c r="L124"/>
      <c r="M124"/>
      <c r="N124"/>
      <c r="O124"/>
      <c r="P124"/>
      <c r="Q124"/>
      <c r="R124"/>
    </row>
    <row r="125" spans="5:18" s="18" customFormat="1" ht="15.75" customHeight="1">
      <c r="E125" s="21"/>
      <c r="F125" s="44"/>
      <c r="G125" s="27"/>
      <c r="J125"/>
      <c r="K125"/>
      <c r="L125"/>
      <c r="M125"/>
      <c r="N125"/>
      <c r="O125"/>
      <c r="P125"/>
      <c r="Q125"/>
      <c r="R125"/>
    </row>
    <row r="126" spans="5:18" s="18" customFormat="1" ht="15.75" customHeight="1">
      <c r="E126" s="21"/>
      <c r="F126" s="44"/>
      <c r="G126" s="27"/>
      <c r="J126"/>
      <c r="K126"/>
      <c r="L126"/>
      <c r="M126"/>
      <c r="N126"/>
      <c r="O126"/>
      <c r="P126"/>
      <c r="Q126"/>
      <c r="R126"/>
    </row>
    <row r="127" spans="5:18" s="18" customFormat="1" ht="15.75" customHeight="1">
      <c r="E127" s="21"/>
      <c r="F127" s="44"/>
      <c r="G127" s="27"/>
      <c r="J127"/>
      <c r="K127"/>
      <c r="L127"/>
      <c r="M127"/>
      <c r="N127"/>
      <c r="O127"/>
      <c r="P127"/>
      <c r="Q127"/>
      <c r="R127"/>
    </row>
    <row r="128" spans="5:18" s="18" customFormat="1" ht="15.75" customHeight="1">
      <c r="E128" s="21"/>
      <c r="F128" s="44"/>
      <c r="G128" s="27"/>
      <c r="J128"/>
      <c r="K128"/>
      <c r="L128"/>
      <c r="M128"/>
      <c r="N128"/>
      <c r="O128"/>
      <c r="P128"/>
      <c r="Q128"/>
      <c r="R128"/>
    </row>
    <row r="129" spans="5:18" s="18" customFormat="1" ht="15.75" customHeight="1">
      <c r="E129" s="21"/>
      <c r="F129" s="44"/>
      <c r="G129" s="27"/>
      <c r="J129"/>
      <c r="K129"/>
      <c r="L129"/>
      <c r="M129"/>
      <c r="N129"/>
      <c r="O129"/>
      <c r="P129"/>
      <c r="Q129"/>
      <c r="R129"/>
    </row>
    <row r="130" spans="5:18" s="18" customFormat="1" ht="15.75" customHeight="1">
      <c r="E130" s="21"/>
      <c r="F130" s="44"/>
      <c r="G130" s="27"/>
      <c r="J130"/>
      <c r="K130"/>
      <c r="L130"/>
      <c r="M130"/>
      <c r="N130"/>
      <c r="O130"/>
      <c r="P130"/>
      <c r="Q130"/>
      <c r="R130"/>
    </row>
    <row r="131" spans="5:18" s="18" customFormat="1" ht="15.75" customHeight="1">
      <c r="E131" s="21"/>
      <c r="F131" s="44"/>
      <c r="G131" s="27"/>
      <c r="J131"/>
      <c r="K131"/>
      <c r="L131"/>
      <c r="M131"/>
      <c r="N131"/>
      <c r="O131"/>
      <c r="P131"/>
      <c r="Q131"/>
      <c r="R131"/>
    </row>
    <row r="132" spans="5:18" s="18" customFormat="1" ht="15.75" customHeight="1">
      <c r="E132" s="21"/>
      <c r="F132" s="44"/>
      <c r="G132" s="27"/>
      <c r="J132"/>
      <c r="K132"/>
      <c r="L132"/>
      <c r="M132"/>
      <c r="N132"/>
      <c r="O132"/>
      <c r="P132"/>
      <c r="Q132"/>
      <c r="R132"/>
    </row>
    <row r="133" spans="5:18" s="18" customFormat="1" ht="15.75" customHeight="1">
      <c r="E133" s="21"/>
      <c r="F133" s="44"/>
      <c r="G133" s="27"/>
      <c r="J133"/>
      <c r="K133"/>
      <c r="L133"/>
      <c r="M133"/>
      <c r="N133"/>
      <c r="O133"/>
      <c r="P133"/>
      <c r="Q133"/>
      <c r="R133"/>
    </row>
    <row r="134" spans="5:18" s="18" customFormat="1" ht="15.75" customHeight="1">
      <c r="E134" s="21"/>
      <c r="F134" s="44"/>
      <c r="G134" s="27"/>
      <c r="J134"/>
      <c r="K134"/>
      <c r="L134"/>
      <c r="M134"/>
      <c r="N134"/>
      <c r="O134"/>
      <c r="P134"/>
      <c r="Q134"/>
      <c r="R134"/>
    </row>
    <row r="135" spans="5:18" s="18" customFormat="1" ht="15.75" customHeight="1">
      <c r="E135" s="21"/>
      <c r="F135" s="44"/>
      <c r="G135" s="27"/>
      <c r="J135"/>
      <c r="K135"/>
      <c r="L135"/>
      <c r="M135"/>
      <c r="N135"/>
      <c r="O135"/>
      <c r="P135"/>
      <c r="Q135"/>
      <c r="R135"/>
    </row>
    <row r="136" spans="5:18" s="18" customFormat="1" ht="15.75" customHeight="1">
      <c r="E136" s="21"/>
      <c r="F136" s="44"/>
      <c r="G136" s="27"/>
      <c r="J136"/>
      <c r="K136"/>
      <c r="L136"/>
      <c r="M136"/>
      <c r="N136"/>
      <c r="O136"/>
      <c r="P136"/>
      <c r="Q136"/>
      <c r="R136"/>
    </row>
    <row r="137" spans="5:18" s="18" customFormat="1" ht="15.75" customHeight="1">
      <c r="E137" s="21"/>
      <c r="F137" s="44"/>
      <c r="G137" s="27"/>
      <c r="J137"/>
      <c r="K137"/>
      <c r="L137"/>
      <c r="M137"/>
      <c r="N137"/>
      <c r="O137"/>
      <c r="P137"/>
      <c r="Q137"/>
      <c r="R137"/>
    </row>
    <row r="138" spans="5:18" s="18" customFormat="1" ht="15.75" customHeight="1">
      <c r="E138" s="21"/>
      <c r="F138" s="44"/>
      <c r="G138" s="27"/>
      <c r="J138"/>
      <c r="K138"/>
      <c r="L138"/>
      <c r="M138"/>
      <c r="N138"/>
      <c r="O138"/>
      <c r="P138"/>
      <c r="Q138"/>
      <c r="R138"/>
    </row>
    <row r="139" spans="5:18" s="18" customFormat="1" ht="15.75" customHeight="1">
      <c r="E139" s="21"/>
      <c r="F139" s="44"/>
      <c r="G139" s="27"/>
      <c r="J139"/>
      <c r="K139"/>
      <c r="L139"/>
      <c r="M139"/>
      <c r="N139"/>
      <c r="O139"/>
      <c r="P139"/>
      <c r="Q139"/>
      <c r="R139"/>
    </row>
    <row r="140" spans="5:18" s="18" customFormat="1" ht="15.75" customHeight="1">
      <c r="E140" s="21"/>
      <c r="F140" s="44"/>
      <c r="G140" s="27"/>
      <c r="J140"/>
      <c r="K140"/>
      <c r="L140"/>
      <c r="M140"/>
      <c r="N140"/>
      <c r="O140"/>
      <c r="P140"/>
      <c r="Q140"/>
      <c r="R140"/>
    </row>
    <row r="141" spans="5:18" s="18" customFormat="1" ht="15.75" customHeight="1">
      <c r="E141" s="21"/>
      <c r="F141" s="44"/>
      <c r="G141" s="27"/>
      <c r="J141"/>
      <c r="K141"/>
      <c r="L141"/>
      <c r="M141"/>
      <c r="N141"/>
      <c r="O141"/>
      <c r="P141"/>
      <c r="Q141"/>
      <c r="R141"/>
    </row>
    <row r="142" spans="5:18" s="18" customFormat="1" ht="15.75" customHeight="1">
      <c r="E142" s="21"/>
      <c r="F142" s="44"/>
      <c r="G142" s="27"/>
      <c r="J142"/>
      <c r="K142"/>
      <c r="L142"/>
      <c r="M142"/>
      <c r="N142"/>
      <c r="O142"/>
      <c r="P142"/>
      <c r="Q142"/>
      <c r="R142"/>
    </row>
    <row r="143" spans="5:18" s="18" customFormat="1" ht="15.75" customHeight="1">
      <c r="E143" s="21"/>
      <c r="F143" s="44"/>
      <c r="G143" s="27"/>
      <c r="J143"/>
      <c r="K143"/>
      <c r="L143"/>
      <c r="M143"/>
      <c r="N143"/>
      <c r="O143"/>
      <c r="P143"/>
      <c r="Q143"/>
      <c r="R143"/>
    </row>
    <row r="144" spans="5:18" s="18" customFormat="1" ht="15.75" customHeight="1">
      <c r="E144" s="21"/>
      <c r="F144" s="44"/>
      <c r="G144" s="27"/>
      <c r="J144"/>
      <c r="K144"/>
      <c r="L144"/>
      <c r="M144"/>
      <c r="N144"/>
      <c r="O144"/>
      <c r="P144"/>
      <c r="Q144"/>
      <c r="R144"/>
    </row>
  </sheetData>
  <autoFilter ref="A8:P16" xr:uid="{00000000-0009-0000-0000-000000000000}"/>
  <mergeCells count="53">
    <mergeCell ref="E33:F33"/>
    <mergeCell ref="N33:O33"/>
    <mergeCell ref="E35:F35"/>
    <mergeCell ref="N35:O35"/>
    <mergeCell ref="E27:F27"/>
    <mergeCell ref="N27:O27"/>
    <mergeCell ref="E29:F29"/>
    <mergeCell ref="N29:O29"/>
    <mergeCell ref="E31:F31"/>
    <mergeCell ref="N31:O31"/>
    <mergeCell ref="E21:F21"/>
    <mergeCell ref="N21:O21"/>
    <mergeCell ref="E23:F23"/>
    <mergeCell ref="N23:O23"/>
    <mergeCell ref="E25:F25"/>
    <mergeCell ref="N25:O25"/>
    <mergeCell ref="E17:F17"/>
    <mergeCell ref="N17:O17"/>
    <mergeCell ref="E19:F19"/>
    <mergeCell ref="N19:O19"/>
    <mergeCell ref="E11:F11"/>
    <mergeCell ref="E12:F12"/>
    <mergeCell ref="E13:F13"/>
    <mergeCell ref="N13:O13"/>
    <mergeCell ref="E15:F15"/>
    <mergeCell ref="N15:O15"/>
    <mergeCell ref="E9:F9"/>
    <mergeCell ref="N9:O9"/>
    <mergeCell ref="E10:F10"/>
    <mergeCell ref="N10:O10"/>
    <mergeCell ref="B7:D7"/>
    <mergeCell ref="E7:I7"/>
    <mergeCell ref="J7:L7"/>
    <mergeCell ref="N7:P7"/>
    <mergeCell ref="E8:F8"/>
    <mergeCell ref="N8:O8"/>
    <mergeCell ref="Q2:Q5"/>
    <mergeCell ref="R2:R5"/>
    <mergeCell ref="C3:C5"/>
    <mergeCell ref="D3:D5"/>
    <mergeCell ref="F3:G3"/>
    <mergeCell ref="F4:G4"/>
    <mergeCell ref="F5:G5"/>
    <mergeCell ref="B1:D1"/>
    <mergeCell ref="E1:I1"/>
    <mergeCell ref="N1:P1"/>
    <mergeCell ref="E2:E6"/>
    <mergeCell ref="F2:G2"/>
    <mergeCell ref="J2:L6"/>
    <mergeCell ref="M2:M6"/>
    <mergeCell ref="N2:N6"/>
    <mergeCell ref="O2:P6"/>
    <mergeCell ref="F6:I6"/>
  </mergeCells>
  <phoneticPr fontId="13" type="noConversion"/>
  <conditionalFormatting sqref="A9:A35">
    <cfRule type="expression" dxfId="31" priority="3">
      <formula>M9 = "On Hold"</formula>
    </cfRule>
  </conditionalFormatting>
  <conditionalFormatting sqref="B2:B5 J9:P35">
    <cfRule type="cellIs" dxfId="30" priority="1" operator="equal">
      <formula>"Done"</formula>
    </cfRule>
    <cfRule type="cellIs" dxfId="29" priority="2" operator="equal">
      <formula>"On Hold"</formula>
    </cfRule>
    <cfRule type="cellIs" dxfId="28" priority="4" operator="equal">
      <formula>"Ready for Review"</formula>
    </cfRule>
    <cfRule type="cellIs" dxfId="27" priority="5" operator="equal">
      <formula>"In Review"</formula>
    </cfRule>
  </conditionalFormatting>
  <dataValidations count="7">
    <dataValidation type="list" allowBlank="1" sqref="B3 M9:M16" xr:uid="{596917AA-19BD-4D51-A3CA-78D2DFED02A3}">
      <formula1>Statuses</formula1>
    </dataValidation>
    <dataValidation type="list" allowBlank="1" sqref="B4:B5" xr:uid="{E810DECF-52C5-4CEF-9231-F813F41E480F}">
      <formula1>ETL_Statuses</formula1>
    </dataValidation>
    <dataValidation type="list" allowBlank="1" showErrorMessage="1" sqref="B2" xr:uid="{8D42A0FC-7D4D-44C6-B083-0BAE50F9FEA1}">
      <formula1>STT_Statuses</formula1>
    </dataValidation>
    <dataValidation type="list" allowBlank="1" sqref="B9:B16" xr:uid="{A0E4A436-25E6-4F9A-B7A0-0EF170748135}">
      <formula1>Data_Types</formula1>
    </dataValidation>
    <dataValidation type="list" allowBlank="1" sqref="E9:E16" xr:uid="{BDDA25BA-919D-4E0C-A152-DC928EA8D7A4}">
      <formula1>Sources</formula1>
    </dataValidation>
    <dataValidation type="list" allowBlank="1" sqref="P9:P16" xr:uid="{178DA528-FEF1-4AC6-B375-F1714BBB9AC5}">
      <formula1>Versions</formula1>
    </dataValidation>
    <dataValidation type="list" allowBlank="1" sqref="N9:N16" xr:uid="{6F17DED1-2B19-49EC-9FBD-EDEB07C9EAC8}">
      <formula1>Categories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F3C58-14AF-478A-850F-B427C71B4781}">
  <sheetPr>
    <tabColor theme="6" tint="0.59999389629810485"/>
    <outlinePr summaryBelow="0" summaryRight="0"/>
  </sheetPr>
  <dimension ref="A1:R145"/>
  <sheetViews>
    <sheetView zoomScale="80" zoomScaleNormal="80" workbookViewId="0">
      <pane xSplit="1" ySplit="8" topLeftCell="B9" activePane="bottomRight" state="frozen"/>
      <selection pane="bottomRight" activeCell="D3" sqref="D3:D5"/>
      <selection pane="bottomLeft" activeCell="A9" sqref="A9"/>
      <selection pane="topRight" activeCell="B1" sqref="B1"/>
    </sheetView>
  </sheetViews>
  <sheetFormatPr defaultColWidth="12.7109375" defaultRowHeight="15" customHeight="1" outlineLevelRow="1" outlineLevelCol="1"/>
  <cols>
    <col min="1" max="1" width="35.7109375" style="18" customWidth="1"/>
    <col min="2" max="2" width="16.28515625" style="18" customWidth="1" outlineLevel="1"/>
    <col min="3" max="3" width="7" style="18" customWidth="1" outlineLevel="1"/>
    <col min="4" max="4" width="28" style="18" customWidth="1" outlineLevel="1"/>
    <col min="5" max="5" width="2.28515625" style="21" customWidth="1"/>
    <col min="6" max="6" width="12.7109375" style="44" customWidth="1" outlineLevel="1"/>
    <col min="7" max="7" width="18.140625" style="27" customWidth="1" outlineLevel="1"/>
    <col min="8" max="8" width="30.7109375" style="18" customWidth="1" outlineLevel="1"/>
    <col min="9" max="9" width="33.140625" style="18" customWidth="1" outlineLevel="1"/>
    <col min="10" max="10" width="5.85546875" hidden="1" customWidth="1" outlineLevel="1"/>
    <col min="11" max="11" width="5" hidden="1" customWidth="1" outlineLevel="1"/>
    <col min="12" max="12" width="11.7109375" hidden="1" customWidth="1" outlineLevel="1"/>
    <col min="13" max="13" width="2.28515625" customWidth="1"/>
    <col min="14" max="14" width="2.28515625" customWidth="1" collapsed="1"/>
    <col min="15" max="15" width="10.7109375" hidden="1" customWidth="1" outlineLevel="1"/>
    <col min="16" max="16" width="11" hidden="1" customWidth="1" outlineLevel="1"/>
    <col min="17" max="18" width="47.7109375" customWidth="1"/>
  </cols>
  <sheetData>
    <row r="1" spans="1:18" ht="5.25" customHeight="1" outlineLevel="1">
      <c r="A1" s="28"/>
      <c r="B1" s="109"/>
      <c r="C1" s="106"/>
      <c r="D1" s="106"/>
      <c r="E1" s="110"/>
      <c r="F1" s="106"/>
      <c r="G1" s="106"/>
      <c r="H1" s="106"/>
      <c r="I1" s="106"/>
      <c r="J1" s="2"/>
      <c r="K1" s="2"/>
      <c r="L1" s="2"/>
      <c r="M1" s="2"/>
      <c r="N1" s="111"/>
      <c r="O1" s="124"/>
      <c r="P1" s="124"/>
    </row>
    <row r="2" spans="1:18" ht="15.75" customHeight="1" outlineLevel="1">
      <c r="A2" s="29" t="s">
        <v>0</v>
      </c>
      <c r="B2" s="29" t="s">
        <v>1</v>
      </c>
      <c r="C2" s="30"/>
      <c r="D2" s="31" t="s">
        <v>2</v>
      </c>
      <c r="E2" s="112" t="s">
        <v>3</v>
      </c>
      <c r="F2" s="115" t="s">
        <v>4</v>
      </c>
      <c r="G2" s="116"/>
      <c r="H2" s="19" t="s">
        <v>5</v>
      </c>
      <c r="I2" s="20"/>
      <c r="J2" s="117"/>
      <c r="K2" s="125"/>
      <c r="L2" s="126"/>
      <c r="M2" s="118" t="s">
        <v>6</v>
      </c>
      <c r="N2" s="119" t="s">
        <v>7</v>
      </c>
      <c r="O2" s="120"/>
      <c r="P2" s="126"/>
      <c r="Q2" s="128" t="s">
        <v>8</v>
      </c>
      <c r="R2" s="128" t="s">
        <v>9</v>
      </c>
    </row>
    <row r="3" spans="1:18" ht="15.75" customHeight="1" outlineLevel="1">
      <c r="A3" s="29" t="s">
        <v>10</v>
      </c>
      <c r="B3" s="29"/>
      <c r="C3" s="108"/>
      <c r="D3" s="121" t="s">
        <v>478</v>
      </c>
      <c r="E3" s="113"/>
      <c r="F3" s="103" t="s">
        <v>479</v>
      </c>
      <c r="G3" s="104"/>
      <c r="H3" s="19" t="s">
        <v>13</v>
      </c>
      <c r="I3" s="20"/>
      <c r="J3" s="129"/>
      <c r="K3" s="128"/>
      <c r="L3" s="130"/>
      <c r="M3" s="131"/>
      <c r="N3" s="131"/>
      <c r="O3" s="129"/>
      <c r="P3" s="130"/>
      <c r="Q3" s="128"/>
      <c r="R3" s="128"/>
    </row>
    <row r="4" spans="1:18" ht="15.75" customHeight="1" outlineLevel="1">
      <c r="A4" s="29" t="s">
        <v>14</v>
      </c>
      <c r="B4" s="29"/>
      <c r="C4" s="108"/>
      <c r="D4" s="113"/>
      <c r="E4" s="113"/>
      <c r="F4" s="115" t="s">
        <v>15</v>
      </c>
      <c r="G4" s="116"/>
      <c r="H4" s="19" t="s">
        <v>16</v>
      </c>
      <c r="I4" s="20"/>
      <c r="J4" s="129"/>
      <c r="K4" s="128"/>
      <c r="L4" s="130"/>
      <c r="M4" s="131"/>
      <c r="N4" s="131"/>
      <c r="O4" s="129"/>
      <c r="P4" s="130"/>
      <c r="Q4" s="128"/>
      <c r="R4" s="128"/>
    </row>
    <row r="5" spans="1:18" ht="15.75" customHeight="1" outlineLevel="1">
      <c r="A5" s="29" t="s">
        <v>17</v>
      </c>
      <c r="B5" s="29"/>
      <c r="C5" s="108"/>
      <c r="D5" s="114"/>
      <c r="E5" s="113"/>
      <c r="F5" s="103" t="s">
        <v>18</v>
      </c>
      <c r="G5" s="104"/>
      <c r="H5" s="19" t="s">
        <v>19</v>
      </c>
      <c r="I5" s="20"/>
      <c r="J5" s="129"/>
      <c r="K5" s="128"/>
      <c r="L5" s="130"/>
      <c r="M5" s="131"/>
      <c r="N5" s="131"/>
      <c r="O5" s="129"/>
      <c r="P5" s="130"/>
      <c r="Q5" s="128"/>
      <c r="R5" s="128"/>
    </row>
    <row r="6" spans="1:18" ht="15.75" customHeight="1" outlineLevel="1">
      <c r="A6" s="21"/>
      <c r="B6" s="21"/>
      <c r="C6" s="32" t="e" vm="1">
        <v>#VALUE!</v>
      </c>
      <c r="D6" s="21"/>
      <c r="E6" s="114"/>
      <c r="F6" s="108"/>
      <c r="G6" s="108"/>
      <c r="H6" s="108"/>
      <c r="I6" s="108"/>
      <c r="J6" s="134"/>
      <c r="K6" s="135"/>
      <c r="L6" s="136"/>
      <c r="M6" s="137"/>
      <c r="N6" s="137"/>
      <c r="O6" s="134"/>
      <c r="P6" s="136"/>
      <c r="Q6" s="10" t="s">
        <v>20</v>
      </c>
      <c r="R6" s="10" t="s">
        <v>20</v>
      </c>
    </row>
    <row r="7" spans="1:18" ht="15.75" customHeight="1">
      <c r="A7" s="33" t="s">
        <v>21</v>
      </c>
      <c r="B7" s="98" t="s">
        <v>21</v>
      </c>
      <c r="C7" s="99"/>
      <c r="D7" s="99"/>
      <c r="E7" s="100" t="s">
        <v>22</v>
      </c>
      <c r="F7" s="99"/>
      <c r="G7" s="99"/>
      <c r="H7" s="99"/>
      <c r="I7" s="101"/>
      <c r="J7" s="138"/>
      <c r="K7" s="138"/>
      <c r="L7" s="139"/>
      <c r="M7" s="53" t="s">
        <v>23</v>
      </c>
      <c r="N7" s="102" t="s">
        <v>24</v>
      </c>
      <c r="O7" s="138"/>
      <c r="P7" s="139"/>
      <c r="Q7" s="11"/>
      <c r="R7" s="11"/>
    </row>
    <row r="8" spans="1:18" ht="15.75" customHeight="1">
      <c r="A8" s="34" t="s">
        <v>26</v>
      </c>
      <c r="B8" s="34" t="s">
        <v>27</v>
      </c>
      <c r="C8" s="34" t="s">
        <v>28</v>
      </c>
      <c r="D8" s="35" t="s">
        <v>29</v>
      </c>
      <c r="E8" s="94" t="s">
        <v>30</v>
      </c>
      <c r="F8" s="101"/>
      <c r="G8" s="17" t="s">
        <v>31</v>
      </c>
      <c r="H8" s="22" t="s">
        <v>32</v>
      </c>
      <c r="I8" s="23" t="s">
        <v>33</v>
      </c>
      <c r="J8" s="50"/>
      <c r="K8" s="12" t="s">
        <v>31</v>
      </c>
      <c r="L8" s="12" t="s">
        <v>26</v>
      </c>
      <c r="M8" s="52" t="s">
        <v>34</v>
      </c>
      <c r="N8" s="140" t="s">
        <v>35</v>
      </c>
      <c r="O8" s="139"/>
      <c r="P8" s="13" t="s">
        <v>36</v>
      </c>
      <c r="Q8" s="14" t="str">
        <f>"("</f>
        <v>(</v>
      </c>
      <c r="R8" s="14" t="str">
        <f>"("</f>
        <v>(</v>
      </c>
    </row>
    <row r="9" spans="1:18" ht="15.75" customHeight="1" outlineLevel="1">
      <c r="A9" s="37" t="s">
        <v>104</v>
      </c>
      <c r="B9" s="34" t="s">
        <v>50</v>
      </c>
      <c r="C9" s="36" t="e" vm="1">
        <v>#VALUE!</v>
      </c>
      <c r="D9" s="34" t="s">
        <v>513</v>
      </c>
      <c r="E9" s="94" t="s">
        <v>40</v>
      </c>
      <c r="F9" s="95"/>
      <c r="G9" s="17" t="s">
        <v>106</v>
      </c>
      <c r="H9" s="17" t="s">
        <v>104</v>
      </c>
      <c r="I9" s="23"/>
      <c r="J9" s="41"/>
      <c r="K9" s="12"/>
      <c r="L9" s="12"/>
      <c r="M9" s="49"/>
      <c r="N9" s="140" t="s">
        <v>42</v>
      </c>
      <c r="O9" s="141"/>
      <c r="P9" s="13" t="s">
        <v>43</v>
      </c>
      <c r="Q9" s="14"/>
      <c r="R9" s="14"/>
    </row>
    <row r="10" spans="1:18" ht="15.75" customHeight="1" outlineLevel="1">
      <c r="A10" s="37" t="s">
        <v>107</v>
      </c>
      <c r="B10" s="34" t="s">
        <v>38</v>
      </c>
      <c r="C10" s="36"/>
      <c r="D10" s="16" t="s">
        <v>514</v>
      </c>
      <c r="E10" s="94" t="s">
        <v>40</v>
      </c>
      <c r="F10" s="95"/>
      <c r="G10" s="17" t="s">
        <v>106</v>
      </c>
      <c r="H10" s="22" t="s">
        <v>107</v>
      </c>
      <c r="I10" s="17"/>
      <c r="J10" s="41"/>
      <c r="K10" s="12"/>
      <c r="L10" s="12"/>
      <c r="M10" s="49"/>
      <c r="N10" s="140"/>
      <c r="O10" s="141"/>
      <c r="P10" s="13"/>
      <c r="Q10" s="14"/>
      <c r="R10" s="14"/>
    </row>
    <row r="11" spans="1:18" ht="15.75" customHeight="1" outlineLevel="1">
      <c r="A11" s="37" t="s">
        <v>515</v>
      </c>
      <c r="B11" s="34" t="s">
        <v>38</v>
      </c>
      <c r="C11" s="36"/>
      <c r="D11" s="34" t="s">
        <v>516</v>
      </c>
      <c r="E11" s="94" t="s">
        <v>40</v>
      </c>
      <c r="F11" s="95"/>
      <c r="G11" s="17" t="s">
        <v>106</v>
      </c>
      <c r="H11" s="17" t="s">
        <v>515</v>
      </c>
      <c r="I11" s="23"/>
      <c r="J11" s="41"/>
      <c r="K11" s="12"/>
      <c r="L11" s="12"/>
      <c r="M11" s="49"/>
      <c r="N11" s="140"/>
      <c r="O11" s="141"/>
      <c r="P11" s="13"/>
      <c r="Q11" s="14"/>
      <c r="R11" s="14"/>
    </row>
    <row r="12" spans="1:18" ht="15.75" customHeight="1" outlineLevel="1">
      <c r="A12" s="37" t="s">
        <v>517</v>
      </c>
      <c r="B12" s="34" t="s">
        <v>38</v>
      </c>
      <c r="C12" s="36"/>
      <c r="D12" s="34" t="s">
        <v>518</v>
      </c>
      <c r="E12" s="94" t="s">
        <v>40</v>
      </c>
      <c r="F12" s="95"/>
      <c r="G12" s="17" t="s">
        <v>106</v>
      </c>
      <c r="H12" s="17" t="s">
        <v>517</v>
      </c>
      <c r="I12" s="23"/>
      <c r="J12" s="41"/>
      <c r="K12" s="12"/>
      <c r="L12" s="12"/>
      <c r="M12" s="49"/>
      <c r="N12" s="42"/>
      <c r="O12" s="43"/>
      <c r="P12" s="13"/>
      <c r="Q12" s="14"/>
      <c r="R12" s="14"/>
    </row>
    <row r="13" spans="1:18" ht="15.75" customHeight="1" outlineLevel="1">
      <c r="A13" s="37" t="s">
        <v>519</v>
      </c>
      <c r="B13" s="34" t="s">
        <v>38</v>
      </c>
      <c r="C13" s="36"/>
      <c r="D13" s="34" t="s">
        <v>520</v>
      </c>
      <c r="E13" s="94" t="s">
        <v>40</v>
      </c>
      <c r="F13" s="95"/>
      <c r="G13" s="17" t="s">
        <v>106</v>
      </c>
      <c r="H13" s="17" t="s">
        <v>519</v>
      </c>
      <c r="I13" s="23"/>
      <c r="J13" s="41"/>
      <c r="K13" s="12"/>
      <c r="L13" s="12"/>
      <c r="M13" s="49"/>
      <c r="N13" s="42"/>
      <c r="O13" s="43"/>
      <c r="P13" s="13"/>
      <c r="Q13" s="14"/>
      <c r="R13" s="14"/>
    </row>
    <row r="14" spans="1:18" ht="15.75" customHeight="1" outlineLevel="1">
      <c r="A14" s="37"/>
      <c r="B14" s="34"/>
      <c r="C14" s="36"/>
      <c r="D14" s="16"/>
      <c r="E14" s="94"/>
      <c r="F14" s="95"/>
      <c r="G14" s="17"/>
      <c r="H14" s="17"/>
      <c r="I14" s="23"/>
      <c r="J14" s="41"/>
      <c r="K14" s="12"/>
      <c r="L14" s="12"/>
      <c r="M14" s="49"/>
      <c r="N14" s="140"/>
      <c r="O14" s="141"/>
      <c r="P14" s="13"/>
      <c r="Q14" s="14"/>
      <c r="R14" s="14"/>
    </row>
    <row r="15" spans="1:18" ht="15.75" customHeight="1" outlineLevel="1">
      <c r="A15" s="37"/>
      <c r="B15" s="34"/>
      <c r="C15" s="36"/>
      <c r="D15" s="16"/>
      <c r="E15" s="46"/>
      <c r="F15" s="47"/>
      <c r="G15" s="17"/>
      <c r="H15" s="22"/>
      <c r="I15" s="48"/>
      <c r="J15" s="41"/>
      <c r="K15" s="12"/>
      <c r="L15" s="12"/>
      <c r="M15" s="45"/>
      <c r="N15" s="42"/>
      <c r="O15" s="43"/>
      <c r="P15" s="13"/>
      <c r="Q15" s="14"/>
      <c r="R15" s="14"/>
    </row>
    <row r="16" spans="1:18" ht="15.75" customHeight="1" outlineLevel="1">
      <c r="A16" s="37"/>
      <c r="B16" s="34"/>
      <c r="C16" s="36"/>
      <c r="D16" s="34"/>
      <c r="E16" s="94"/>
      <c r="F16" s="95"/>
      <c r="G16" s="17"/>
      <c r="H16" s="22"/>
      <c r="I16" s="23"/>
      <c r="J16" s="41"/>
      <c r="K16" s="12"/>
      <c r="L16" s="12"/>
      <c r="M16" s="45"/>
      <c r="N16" s="140"/>
      <c r="O16" s="141"/>
      <c r="P16" s="13"/>
      <c r="Q16" s="14"/>
      <c r="R16" s="14"/>
    </row>
    <row r="17" spans="1:18" ht="15.75" customHeight="1" outlineLevel="1">
      <c r="A17" s="38" t="s">
        <v>109</v>
      </c>
      <c r="B17" s="39"/>
      <c r="C17" s="40"/>
      <c r="D17" s="9"/>
      <c r="E17" s="94"/>
      <c r="F17" s="95"/>
      <c r="G17" s="17"/>
      <c r="H17" s="25"/>
      <c r="I17" s="24"/>
      <c r="J17" s="51"/>
      <c r="K17" s="3"/>
      <c r="L17" s="3"/>
      <c r="M17" s="49"/>
      <c r="N17" s="142"/>
      <c r="O17" s="143"/>
      <c r="P17" s="4"/>
      <c r="Q17" s="14" t="str">
        <f t="shared" ref="Q17" si="0">CONCATENATE($Q$2,H17,$R$2,A17,$Q$2,",")</f>
        <v>"": "Leave Empty",</v>
      </c>
      <c r="R17" s="14" t="e">
        <f>IF(#REF!="Done",H17 &amp; "::" &amp; B17 &amp; " as " &amp; A17 &amp; IF(B18 = "", "",","),"")</f>
        <v>#REF!</v>
      </c>
    </row>
    <row r="18" spans="1:18" ht="15.75" customHeight="1">
      <c r="E18" s="107"/>
      <c r="F18" s="108"/>
      <c r="G18" s="105"/>
      <c r="H18" s="106"/>
      <c r="I18" s="26"/>
      <c r="N18" s="124"/>
      <c r="O18" s="124"/>
      <c r="Q18" s="5" t="s">
        <v>486</v>
      </c>
      <c r="R18" s="5" t="s">
        <v>486</v>
      </c>
    </row>
    <row r="19" spans="1:18" ht="15.75" customHeight="1"/>
    <row r="20" spans="1:18" ht="15.75" customHeight="1"/>
    <row r="21" spans="1:18" ht="15.75" customHeight="1"/>
    <row r="22" spans="1:18" ht="15.75" customHeight="1"/>
    <row r="23" spans="1:18" ht="15.75" customHeight="1"/>
    <row r="24" spans="1:18" ht="15.75" customHeight="1"/>
    <row r="25" spans="1:18" ht="15.75" customHeight="1"/>
    <row r="26" spans="1:18" ht="15.75" customHeight="1"/>
    <row r="27" spans="1:18" ht="15.75" customHeight="1"/>
    <row r="28" spans="1:18" ht="15.75" customHeight="1"/>
    <row r="29" spans="1:18" ht="15.75" customHeight="1"/>
    <row r="30" spans="1:18" ht="15.75" customHeight="1"/>
    <row r="31" spans="1:18" s="18" customFormat="1" ht="15.75" customHeight="1">
      <c r="D31" s="54"/>
      <c r="E31" s="21"/>
      <c r="F31" s="44"/>
      <c r="G31" s="27"/>
      <c r="J31"/>
      <c r="K31"/>
      <c r="L31"/>
      <c r="M31"/>
      <c r="N31"/>
      <c r="O31"/>
      <c r="P31"/>
      <c r="Q31"/>
      <c r="R31"/>
    </row>
    <row r="32" spans="1:18" s="18" customFormat="1" ht="15.75" customHeight="1">
      <c r="E32" s="21"/>
      <c r="F32" s="44"/>
      <c r="G32" s="27"/>
      <c r="J32"/>
      <c r="K32"/>
      <c r="L32"/>
      <c r="M32"/>
      <c r="N32"/>
      <c r="O32"/>
      <c r="P32"/>
      <c r="Q32"/>
      <c r="R32"/>
    </row>
    <row r="33" spans="5:18" s="18" customFormat="1" ht="15.75" customHeight="1">
      <c r="E33" s="21"/>
      <c r="F33" s="44"/>
      <c r="G33" s="27"/>
      <c r="J33"/>
      <c r="K33"/>
      <c r="L33"/>
      <c r="M33"/>
      <c r="N33"/>
      <c r="O33"/>
      <c r="P33"/>
      <c r="Q33"/>
      <c r="R33"/>
    </row>
    <row r="34" spans="5:18" s="18" customFormat="1" ht="15.75" customHeight="1">
      <c r="E34" s="21"/>
      <c r="F34" s="44"/>
      <c r="G34" s="27"/>
      <c r="J34"/>
      <c r="K34"/>
      <c r="L34"/>
      <c r="M34"/>
      <c r="N34"/>
      <c r="O34"/>
      <c r="P34"/>
      <c r="Q34"/>
      <c r="R34"/>
    </row>
    <row r="35" spans="5:18" s="18" customFormat="1" ht="15.75" customHeight="1">
      <c r="E35" s="21"/>
      <c r="F35" s="44"/>
      <c r="G35" s="27"/>
      <c r="J35"/>
      <c r="K35"/>
      <c r="L35"/>
      <c r="M35"/>
      <c r="N35"/>
      <c r="O35"/>
      <c r="P35"/>
      <c r="Q35"/>
      <c r="R35"/>
    </row>
    <row r="36" spans="5:18" s="18" customFormat="1" ht="15.75" customHeight="1">
      <c r="E36" s="21"/>
      <c r="F36" s="44"/>
      <c r="G36" s="27"/>
      <c r="J36"/>
      <c r="K36"/>
      <c r="L36"/>
      <c r="M36"/>
      <c r="N36"/>
      <c r="O36"/>
      <c r="P36"/>
      <c r="Q36"/>
      <c r="R36"/>
    </row>
    <row r="37" spans="5:18" s="18" customFormat="1" ht="15.75" customHeight="1">
      <c r="E37" s="21"/>
      <c r="F37" s="44"/>
      <c r="G37" s="27"/>
      <c r="J37"/>
      <c r="K37"/>
      <c r="L37"/>
      <c r="M37"/>
      <c r="N37"/>
      <c r="O37"/>
      <c r="P37"/>
      <c r="Q37"/>
      <c r="R37"/>
    </row>
    <row r="38" spans="5:18" s="18" customFormat="1" ht="15.75" customHeight="1">
      <c r="E38" s="21"/>
      <c r="F38" s="44"/>
      <c r="G38" s="27"/>
      <c r="J38"/>
      <c r="K38"/>
      <c r="L38"/>
      <c r="M38"/>
      <c r="N38"/>
      <c r="O38"/>
      <c r="P38"/>
      <c r="Q38"/>
      <c r="R38"/>
    </row>
    <row r="39" spans="5:18" s="18" customFormat="1" ht="15.75" customHeight="1">
      <c r="E39" s="21"/>
      <c r="F39" s="44"/>
      <c r="G39" s="27"/>
      <c r="J39"/>
      <c r="K39"/>
      <c r="L39"/>
      <c r="M39"/>
      <c r="N39"/>
      <c r="O39"/>
      <c r="P39"/>
      <c r="Q39"/>
      <c r="R39"/>
    </row>
    <row r="40" spans="5:18" s="18" customFormat="1" ht="15.75" customHeight="1">
      <c r="E40" s="21"/>
      <c r="F40" s="44"/>
      <c r="G40" s="27"/>
      <c r="J40"/>
      <c r="K40"/>
      <c r="L40"/>
      <c r="M40"/>
      <c r="N40"/>
      <c r="O40"/>
      <c r="P40"/>
      <c r="Q40"/>
      <c r="R40"/>
    </row>
    <row r="41" spans="5:18" s="18" customFormat="1" ht="15.75" customHeight="1">
      <c r="E41" s="21"/>
      <c r="F41" s="44"/>
      <c r="G41" s="27"/>
      <c r="J41"/>
      <c r="K41"/>
      <c r="L41"/>
      <c r="M41"/>
      <c r="N41"/>
      <c r="O41"/>
      <c r="P41"/>
      <c r="Q41"/>
      <c r="R41"/>
    </row>
    <row r="42" spans="5:18" s="18" customFormat="1" ht="15.75" customHeight="1">
      <c r="E42" s="21"/>
      <c r="F42" s="44"/>
      <c r="G42" s="27"/>
      <c r="J42"/>
      <c r="K42"/>
      <c r="L42"/>
      <c r="M42"/>
      <c r="N42"/>
      <c r="O42"/>
      <c r="P42"/>
      <c r="Q42"/>
      <c r="R42"/>
    </row>
    <row r="43" spans="5:18" s="18" customFormat="1" ht="15.75" customHeight="1">
      <c r="E43" s="21"/>
      <c r="F43" s="44"/>
      <c r="G43" s="27"/>
      <c r="J43"/>
      <c r="K43"/>
      <c r="L43"/>
      <c r="M43"/>
      <c r="N43"/>
      <c r="O43"/>
      <c r="P43"/>
      <c r="Q43"/>
      <c r="R43"/>
    </row>
    <row r="44" spans="5:18" s="18" customFormat="1" ht="15.75" customHeight="1">
      <c r="E44" s="21"/>
      <c r="F44" s="44"/>
      <c r="G44" s="27"/>
      <c r="J44"/>
      <c r="K44"/>
      <c r="L44"/>
      <c r="M44"/>
      <c r="N44"/>
      <c r="O44"/>
      <c r="P44"/>
      <c r="Q44"/>
      <c r="R44"/>
    </row>
    <row r="45" spans="5:18" s="18" customFormat="1" ht="15.75" customHeight="1">
      <c r="E45" s="21"/>
      <c r="F45" s="44"/>
      <c r="G45" s="27"/>
      <c r="J45"/>
      <c r="K45"/>
      <c r="L45"/>
      <c r="M45"/>
      <c r="N45"/>
      <c r="O45"/>
      <c r="P45"/>
      <c r="Q45"/>
      <c r="R45"/>
    </row>
    <row r="46" spans="5:18" s="18" customFormat="1" ht="15.75" customHeight="1">
      <c r="E46" s="21"/>
      <c r="F46" s="44"/>
      <c r="G46" s="27"/>
      <c r="J46"/>
      <c r="K46"/>
      <c r="L46"/>
      <c r="M46"/>
      <c r="N46"/>
      <c r="O46"/>
      <c r="P46"/>
      <c r="Q46"/>
      <c r="R46"/>
    </row>
    <row r="47" spans="5:18" s="18" customFormat="1" ht="15.75" customHeight="1">
      <c r="E47" s="21"/>
      <c r="F47" s="44"/>
      <c r="G47" s="27"/>
      <c r="J47"/>
      <c r="K47"/>
      <c r="L47"/>
      <c r="M47"/>
      <c r="N47"/>
      <c r="O47"/>
      <c r="P47"/>
      <c r="Q47"/>
      <c r="R47"/>
    </row>
    <row r="48" spans="5:18" s="18" customFormat="1" ht="15.75" customHeight="1">
      <c r="E48" s="21"/>
      <c r="F48" s="44"/>
      <c r="G48" s="27"/>
      <c r="J48"/>
      <c r="K48"/>
      <c r="L48"/>
      <c r="M48"/>
      <c r="N48"/>
      <c r="O48"/>
      <c r="P48"/>
      <c r="Q48"/>
      <c r="R48"/>
    </row>
    <row r="49" spans="5:18" s="18" customFormat="1" ht="15.75" customHeight="1">
      <c r="E49" s="21"/>
      <c r="F49" s="44"/>
      <c r="G49" s="27"/>
      <c r="J49"/>
      <c r="K49"/>
      <c r="L49"/>
      <c r="M49"/>
      <c r="N49"/>
      <c r="O49"/>
      <c r="P49"/>
      <c r="Q49"/>
      <c r="R49"/>
    </row>
    <row r="50" spans="5:18" s="18" customFormat="1" ht="15.75" customHeight="1">
      <c r="E50" s="21"/>
      <c r="F50" s="44"/>
      <c r="G50" s="27"/>
      <c r="J50"/>
      <c r="K50"/>
      <c r="L50"/>
      <c r="M50"/>
      <c r="N50"/>
      <c r="O50"/>
      <c r="P50"/>
      <c r="Q50"/>
      <c r="R50"/>
    </row>
    <row r="51" spans="5:18" s="18" customFormat="1" ht="15.75" customHeight="1">
      <c r="E51" s="21"/>
      <c r="F51" s="44"/>
      <c r="G51" s="27"/>
      <c r="J51"/>
      <c r="K51"/>
      <c r="L51"/>
      <c r="M51"/>
      <c r="N51"/>
      <c r="O51"/>
      <c r="P51"/>
      <c r="Q51"/>
      <c r="R51"/>
    </row>
    <row r="52" spans="5:18" s="18" customFormat="1" ht="15.75" customHeight="1">
      <c r="E52" s="21"/>
      <c r="F52" s="44"/>
      <c r="G52" s="27"/>
      <c r="J52"/>
      <c r="K52"/>
      <c r="L52"/>
      <c r="M52"/>
      <c r="N52"/>
      <c r="O52"/>
      <c r="P52"/>
      <c r="Q52"/>
      <c r="R52"/>
    </row>
    <row r="53" spans="5:18" s="18" customFormat="1" ht="15.75" customHeight="1">
      <c r="E53" s="21"/>
      <c r="F53" s="44"/>
      <c r="G53" s="27"/>
      <c r="J53"/>
      <c r="K53"/>
      <c r="L53"/>
      <c r="M53"/>
      <c r="N53"/>
      <c r="O53"/>
      <c r="P53"/>
      <c r="Q53"/>
      <c r="R53"/>
    </row>
    <row r="54" spans="5:18" s="18" customFormat="1" ht="15.75" customHeight="1">
      <c r="E54" s="21"/>
      <c r="F54" s="44"/>
      <c r="G54" s="27"/>
      <c r="J54"/>
      <c r="K54"/>
      <c r="L54"/>
      <c r="M54"/>
      <c r="N54"/>
      <c r="O54"/>
      <c r="P54"/>
      <c r="Q54"/>
      <c r="R54"/>
    </row>
    <row r="55" spans="5:18" s="18" customFormat="1" ht="15.75" customHeight="1">
      <c r="E55" s="21"/>
      <c r="F55" s="44"/>
      <c r="G55" s="27"/>
      <c r="J55"/>
      <c r="K55"/>
      <c r="L55"/>
      <c r="M55"/>
      <c r="N55"/>
      <c r="O55"/>
      <c r="P55"/>
      <c r="Q55"/>
      <c r="R55"/>
    </row>
    <row r="56" spans="5:18" s="18" customFormat="1" ht="15.75" customHeight="1">
      <c r="E56" s="21"/>
      <c r="F56" s="44"/>
      <c r="G56" s="27"/>
      <c r="J56"/>
      <c r="K56"/>
      <c r="L56"/>
      <c r="M56"/>
      <c r="N56"/>
      <c r="O56"/>
      <c r="P56"/>
      <c r="Q56"/>
      <c r="R56"/>
    </row>
    <row r="57" spans="5:18" s="18" customFormat="1" ht="15.75" customHeight="1">
      <c r="E57" s="21"/>
      <c r="F57" s="44"/>
      <c r="G57" s="27"/>
      <c r="J57"/>
      <c r="K57"/>
      <c r="L57"/>
      <c r="M57"/>
      <c r="N57"/>
      <c r="O57"/>
      <c r="P57"/>
      <c r="Q57"/>
      <c r="R57"/>
    </row>
    <row r="58" spans="5:18" s="18" customFormat="1" ht="15.75" customHeight="1">
      <c r="E58" s="21"/>
      <c r="F58" s="44"/>
      <c r="G58" s="27"/>
      <c r="J58"/>
      <c r="K58"/>
      <c r="L58"/>
      <c r="M58"/>
      <c r="N58"/>
      <c r="O58"/>
      <c r="P58"/>
      <c r="Q58"/>
      <c r="R58"/>
    </row>
    <row r="59" spans="5:18" s="18" customFormat="1" ht="15.75" customHeight="1">
      <c r="E59" s="21"/>
      <c r="F59" s="44"/>
      <c r="G59" s="27"/>
      <c r="J59"/>
      <c r="K59"/>
      <c r="L59"/>
      <c r="M59"/>
      <c r="N59"/>
      <c r="O59"/>
      <c r="P59"/>
      <c r="Q59"/>
      <c r="R59"/>
    </row>
    <row r="60" spans="5:18" s="18" customFormat="1" ht="15.75" customHeight="1">
      <c r="E60" s="21"/>
      <c r="F60" s="44"/>
      <c r="G60" s="27"/>
      <c r="J60"/>
      <c r="K60"/>
      <c r="L60"/>
      <c r="M60"/>
      <c r="N60"/>
      <c r="O60"/>
      <c r="P60"/>
      <c r="Q60"/>
      <c r="R60"/>
    </row>
    <row r="61" spans="5:18" s="18" customFormat="1" ht="15.75" customHeight="1">
      <c r="E61" s="21"/>
      <c r="F61" s="44"/>
      <c r="G61" s="27"/>
      <c r="J61"/>
      <c r="K61"/>
      <c r="L61"/>
      <c r="M61"/>
      <c r="N61"/>
      <c r="O61"/>
      <c r="P61"/>
      <c r="Q61"/>
      <c r="R61"/>
    </row>
    <row r="62" spans="5:18" s="18" customFormat="1" ht="15.75" customHeight="1">
      <c r="E62" s="21"/>
      <c r="F62" s="44"/>
      <c r="G62" s="27"/>
      <c r="J62"/>
      <c r="K62"/>
      <c r="L62"/>
      <c r="M62"/>
      <c r="N62"/>
      <c r="O62"/>
      <c r="P62"/>
      <c r="Q62"/>
      <c r="R62"/>
    </row>
    <row r="63" spans="5:18" s="18" customFormat="1" ht="15.75" customHeight="1">
      <c r="E63" s="21"/>
      <c r="F63" s="44"/>
      <c r="G63" s="27"/>
      <c r="J63"/>
      <c r="K63"/>
      <c r="L63"/>
      <c r="M63"/>
      <c r="N63"/>
      <c r="O63"/>
      <c r="P63"/>
      <c r="Q63"/>
      <c r="R63"/>
    </row>
    <row r="64" spans="5:18" s="18" customFormat="1" ht="15.75" customHeight="1">
      <c r="E64" s="21"/>
      <c r="F64" s="44"/>
      <c r="G64" s="27"/>
      <c r="J64"/>
      <c r="K64"/>
      <c r="L64"/>
      <c r="M64"/>
      <c r="N64"/>
      <c r="O64"/>
      <c r="P64"/>
      <c r="Q64"/>
      <c r="R64"/>
    </row>
    <row r="65" spans="5:18" s="18" customFormat="1" ht="15.75" customHeight="1">
      <c r="E65" s="21"/>
      <c r="F65" s="44"/>
      <c r="G65" s="27"/>
      <c r="J65"/>
      <c r="K65"/>
      <c r="L65"/>
      <c r="M65"/>
      <c r="N65"/>
      <c r="O65"/>
      <c r="P65"/>
      <c r="Q65"/>
      <c r="R65"/>
    </row>
    <row r="66" spans="5:18" s="18" customFormat="1" ht="15.75" customHeight="1">
      <c r="E66" s="21"/>
      <c r="F66" s="44"/>
      <c r="G66" s="27"/>
      <c r="J66"/>
      <c r="K66"/>
      <c r="L66"/>
      <c r="M66"/>
      <c r="N66"/>
      <c r="O66"/>
      <c r="P66"/>
      <c r="Q66"/>
      <c r="R66"/>
    </row>
    <row r="67" spans="5:18" s="18" customFormat="1" ht="15.75" customHeight="1">
      <c r="E67" s="21"/>
      <c r="F67" s="44"/>
      <c r="G67" s="27"/>
      <c r="J67"/>
      <c r="K67"/>
      <c r="L67"/>
      <c r="M67"/>
      <c r="N67"/>
      <c r="O67"/>
      <c r="P67"/>
      <c r="Q67"/>
      <c r="R67"/>
    </row>
    <row r="68" spans="5:18" s="18" customFormat="1" ht="15.75" customHeight="1">
      <c r="E68" s="21"/>
      <c r="F68" s="44"/>
      <c r="G68" s="27"/>
      <c r="J68"/>
      <c r="K68"/>
      <c r="L68"/>
      <c r="M68"/>
      <c r="N68"/>
      <c r="O68"/>
      <c r="P68"/>
      <c r="Q68"/>
      <c r="R68"/>
    </row>
    <row r="69" spans="5:18" s="18" customFormat="1" ht="15.75" customHeight="1">
      <c r="E69" s="21"/>
      <c r="F69" s="44"/>
      <c r="G69" s="27"/>
      <c r="J69"/>
      <c r="K69"/>
      <c r="L69"/>
      <c r="M69"/>
      <c r="N69"/>
      <c r="O69"/>
      <c r="P69"/>
      <c r="Q69"/>
      <c r="R69"/>
    </row>
    <row r="70" spans="5:18" s="18" customFormat="1" ht="15.75" customHeight="1">
      <c r="E70" s="21"/>
      <c r="F70" s="44"/>
      <c r="G70" s="27"/>
      <c r="J70"/>
      <c r="K70"/>
      <c r="L70"/>
      <c r="M70"/>
      <c r="N70"/>
      <c r="O70"/>
      <c r="P70"/>
      <c r="Q70"/>
      <c r="R70"/>
    </row>
    <row r="71" spans="5:18" s="18" customFormat="1" ht="15.75" customHeight="1">
      <c r="E71" s="21"/>
      <c r="F71" s="44"/>
      <c r="G71" s="27"/>
      <c r="J71"/>
      <c r="K71"/>
      <c r="L71"/>
      <c r="M71"/>
      <c r="N71"/>
      <c r="O71"/>
      <c r="P71"/>
      <c r="Q71"/>
      <c r="R71"/>
    </row>
    <row r="72" spans="5:18" s="18" customFormat="1" ht="15.75" customHeight="1">
      <c r="E72" s="21"/>
      <c r="F72" s="44"/>
      <c r="G72" s="27"/>
      <c r="J72"/>
      <c r="K72"/>
      <c r="L72"/>
      <c r="M72"/>
      <c r="N72"/>
      <c r="O72"/>
      <c r="P72"/>
      <c r="Q72"/>
      <c r="R72"/>
    </row>
    <row r="73" spans="5:18" s="18" customFormat="1" ht="15.75" customHeight="1">
      <c r="E73" s="21"/>
      <c r="F73" s="44"/>
      <c r="G73" s="27"/>
      <c r="J73"/>
      <c r="K73"/>
      <c r="L73"/>
      <c r="M73"/>
      <c r="N73"/>
      <c r="O73"/>
      <c r="P73"/>
      <c r="Q73"/>
      <c r="R73"/>
    </row>
    <row r="74" spans="5:18" s="18" customFormat="1" ht="15.75" customHeight="1">
      <c r="E74" s="21"/>
      <c r="F74" s="44"/>
      <c r="G74" s="27"/>
      <c r="J74"/>
      <c r="K74"/>
      <c r="L74"/>
      <c r="M74"/>
      <c r="N74"/>
      <c r="O74"/>
      <c r="P74"/>
      <c r="Q74"/>
      <c r="R74"/>
    </row>
    <row r="75" spans="5:18" s="18" customFormat="1" ht="15.75" customHeight="1">
      <c r="E75" s="21"/>
      <c r="F75" s="44"/>
      <c r="G75" s="27"/>
      <c r="J75"/>
      <c r="K75"/>
      <c r="L75"/>
      <c r="M75"/>
      <c r="N75"/>
      <c r="O75"/>
      <c r="P75"/>
      <c r="Q75"/>
      <c r="R75"/>
    </row>
    <row r="76" spans="5:18" s="18" customFormat="1" ht="15.75" customHeight="1">
      <c r="E76" s="21"/>
      <c r="F76" s="44"/>
      <c r="G76" s="27"/>
      <c r="J76"/>
      <c r="K76"/>
      <c r="L76"/>
      <c r="M76"/>
      <c r="N76"/>
      <c r="O76"/>
      <c r="P76"/>
      <c r="Q76"/>
      <c r="R76"/>
    </row>
    <row r="77" spans="5:18" s="18" customFormat="1" ht="15.75" customHeight="1">
      <c r="E77" s="21"/>
      <c r="F77" s="44"/>
      <c r="G77" s="27"/>
      <c r="J77"/>
      <c r="K77"/>
      <c r="L77"/>
      <c r="M77"/>
      <c r="N77"/>
      <c r="O77"/>
      <c r="P77"/>
      <c r="Q77"/>
      <c r="R77"/>
    </row>
    <row r="78" spans="5:18" s="18" customFormat="1" ht="15.75" customHeight="1">
      <c r="E78" s="21"/>
      <c r="F78" s="44"/>
      <c r="G78" s="27"/>
      <c r="J78"/>
      <c r="K78"/>
      <c r="L78"/>
      <c r="M78"/>
      <c r="N78"/>
      <c r="O78"/>
      <c r="P78"/>
      <c r="Q78"/>
      <c r="R78"/>
    </row>
    <row r="79" spans="5:18" s="18" customFormat="1" ht="15.75" customHeight="1">
      <c r="E79" s="21"/>
      <c r="F79" s="44"/>
      <c r="G79" s="27"/>
      <c r="J79"/>
      <c r="K79"/>
      <c r="L79"/>
      <c r="M79"/>
      <c r="N79"/>
      <c r="O79"/>
      <c r="P79"/>
      <c r="Q79"/>
      <c r="R79"/>
    </row>
    <row r="80" spans="5:18" s="18" customFormat="1" ht="15.75" customHeight="1">
      <c r="E80" s="21"/>
      <c r="F80" s="44"/>
      <c r="G80" s="27"/>
      <c r="J80"/>
      <c r="K80"/>
      <c r="L80"/>
      <c r="M80"/>
      <c r="N80"/>
      <c r="O80"/>
      <c r="P80"/>
      <c r="Q80"/>
      <c r="R80"/>
    </row>
    <row r="81" spans="5:18" s="18" customFormat="1" ht="15.75" customHeight="1">
      <c r="E81" s="21"/>
      <c r="F81" s="44"/>
      <c r="G81" s="27"/>
      <c r="J81"/>
      <c r="K81"/>
      <c r="L81"/>
      <c r="M81"/>
      <c r="N81"/>
      <c r="O81"/>
      <c r="P81"/>
      <c r="Q81"/>
      <c r="R81"/>
    </row>
    <row r="82" spans="5:18" s="18" customFormat="1" ht="15.75" customHeight="1">
      <c r="E82" s="21"/>
      <c r="F82" s="44"/>
      <c r="G82" s="27"/>
      <c r="J82"/>
      <c r="K82"/>
      <c r="L82"/>
      <c r="M82"/>
      <c r="N82"/>
      <c r="O82"/>
      <c r="P82"/>
      <c r="Q82"/>
      <c r="R82"/>
    </row>
    <row r="83" spans="5:18" s="18" customFormat="1" ht="15.75" customHeight="1">
      <c r="E83" s="21"/>
      <c r="F83" s="44"/>
      <c r="G83" s="27"/>
      <c r="J83"/>
      <c r="K83"/>
      <c r="L83"/>
      <c r="M83"/>
      <c r="N83"/>
      <c r="O83"/>
      <c r="P83"/>
      <c r="Q83"/>
      <c r="R83"/>
    </row>
    <row r="84" spans="5:18" s="18" customFormat="1" ht="15.75" customHeight="1">
      <c r="E84" s="21"/>
      <c r="F84" s="44"/>
      <c r="G84" s="27"/>
      <c r="J84"/>
      <c r="K84"/>
      <c r="L84"/>
      <c r="M84"/>
      <c r="N84"/>
      <c r="O84"/>
      <c r="P84"/>
      <c r="Q84"/>
      <c r="R84"/>
    </row>
    <row r="85" spans="5:18" s="18" customFormat="1" ht="15.75" customHeight="1">
      <c r="E85" s="21"/>
      <c r="F85" s="44"/>
      <c r="G85" s="27"/>
      <c r="J85"/>
      <c r="K85"/>
      <c r="L85"/>
      <c r="M85"/>
      <c r="N85"/>
      <c r="O85"/>
      <c r="P85"/>
      <c r="Q85"/>
      <c r="R85"/>
    </row>
    <row r="86" spans="5:18" s="18" customFormat="1" ht="15.75" customHeight="1">
      <c r="E86" s="21"/>
      <c r="F86" s="44"/>
      <c r="G86" s="27"/>
      <c r="J86"/>
      <c r="K86"/>
      <c r="L86"/>
      <c r="M86"/>
      <c r="N86"/>
      <c r="O86"/>
      <c r="P86"/>
      <c r="Q86"/>
      <c r="R86"/>
    </row>
    <row r="87" spans="5:18" s="18" customFormat="1" ht="15.75" customHeight="1">
      <c r="E87" s="21"/>
      <c r="F87" s="44"/>
      <c r="G87" s="27"/>
      <c r="J87"/>
      <c r="K87"/>
      <c r="L87"/>
      <c r="M87"/>
      <c r="N87"/>
      <c r="O87"/>
      <c r="P87"/>
      <c r="Q87"/>
      <c r="R87"/>
    </row>
    <row r="88" spans="5:18" s="18" customFormat="1" ht="15.75" customHeight="1">
      <c r="E88" s="21"/>
      <c r="F88" s="44"/>
      <c r="G88" s="27"/>
      <c r="J88"/>
      <c r="K88"/>
      <c r="L88"/>
      <c r="M88"/>
      <c r="N88"/>
      <c r="O88"/>
      <c r="P88"/>
      <c r="Q88"/>
      <c r="R88"/>
    </row>
    <row r="89" spans="5:18" s="18" customFormat="1" ht="15.75" customHeight="1">
      <c r="E89" s="21"/>
      <c r="F89" s="44"/>
      <c r="G89" s="27"/>
      <c r="J89"/>
      <c r="K89"/>
      <c r="L89"/>
      <c r="M89"/>
      <c r="N89"/>
      <c r="O89"/>
      <c r="P89"/>
      <c r="Q89"/>
      <c r="R89"/>
    </row>
    <row r="90" spans="5:18" s="18" customFormat="1" ht="15.75" customHeight="1">
      <c r="E90" s="21"/>
      <c r="F90" s="44"/>
      <c r="G90" s="27"/>
      <c r="J90"/>
      <c r="K90"/>
      <c r="L90"/>
      <c r="M90"/>
      <c r="N90"/>
      <c r="O90"/>
      <c r="P90"/>
      <c r="Q90"/>
      <c r="R90"/>
    </row>
    <row r="91" spans="5:18" s="18" customFormat="1" ht="15.75" customHeight="1">
      <c r="E91" s="21"/>
      <c r="F91" s="44"/>
      <c r="G91" s="27"/>
      <c r="J91"/>
      <c r="K91"/>
      <c r="L91"/>
      <c r="M91"/>
      <c r="N91"/>
      <c r="O91"/>
      <c r="P91"/>
      <c r="Q91"/>
      <c r="R91"/>
    </row>
    <row r="92" spans="5:18" s="18" customFormat="1" ht="15.75" customHeight="1">
      <c r="E92" s="21"/>
      <c r="F92" s="44"/>
      <c r="G92" s="27"/>
      <c r="J92"/>
      <c r="K92"/>
      <c r="L92"/>
      <c r="M92"/>
      <c r="N92"/>
      <c r="O92"/>
      <c r="P92"/>
      <c r="Q92"/>
      <c r="R92"/>
    </row>
    <row r="93" spans="5:18" s="18" customFormat="1" ht="15.75" customHeight="1">
      <c r="E93" s="21"/>
      <c r="F93" s="44"/>
      <c r="G93" s="27"/>
      <c r="J93"/>
      <c r="K93"/>
      <c r="L93"/>
      <c r="M93"/>
      <c r="N93"/>
      <c r="O93"/>
      <c r="P93"/>
      <c r="Q93"/>
      <c r="R93"/>
    </row>
    <row r="94" spans="5:18" s="18" customFormat="1" ht="15.75" customHeight="1">
      <c r="E94" s="21"/>
      <c r="F94" s="44"/>
      <c r="G94" s="27"/>
      <c r="J94"/>
      <c r="K94"/>
      <c r="L94"/>
      <c r="M94"/>
      <c r="N94"/>
      <c r="O94"/>
      <c r="P94"/>
      <c r="Q94"/>
      <c r="R94"/>
    </row>
    <row r="95" spans="5:18" s="18" customFormat="1" ht="15.75" customHeight="1">
      <c r="E95" s="21"/>
      <c r="F95" s="44"/>
      <c r="G95" s="27"/>
      <c r="J95"/>
      <c r="K95"/>
      <c r="L95"/>
      <c r="M95"/>
      <c r="N95"/>
      <c r="O95"/>
      <c r="P95"/>
      <c r="Q95"/>
      <c r="R95"/>
    </row>
    <row r="96" spans="5:18" s="18" customFormat="1" ht="15.75" customHeight="1">
      <c r="E96" s="21"/>
      <c r="F96" s="44"/>
      <c r="G96" s="27"/>
      <c r="J96"/>
      <c r="K96"/>
      <c r="L96"/>
      <c r="M96"/>
      <c r="N96"/>
      <c r="O96"/>
      <c r="P96"/>
      <c r="Q96"/>
      <c r="R96"/>
    </row>
    <row r="97" spans="5:18" s="18" customFormat="1" ht="15.75" customHeight="1">
      <c r="E97" s="21"/>
      <c r="F97" s="44"/>
      <c r="G97" s="27"/>
      <c r="J97"/>
      <c r="K97"/>
      <c r="L97"/>
      <c r="M97"/>
      <c r="N97"/>
      <c r="O97"/>
      <c r="P97"/>
      <c r="Q97"/>
      <c r="R97"/>
    </row>
    <row r="98" spans="5:18" s="18" customFormat="1" ht="15.75" customHeight="1">
      <c r="E98" s="21"/>
      <c r="F98" s="44"/>
      <c r="G98" s="27"/>
      <c r="J98"/>
      <c r="K98"/>
      <c r="L98"/>
      <c r="M98"/>
      <c r="N98"/>
      <c r="O98"/>
      <c r="P98"/>
      <c r="Q98"/>
      <c r="R98"/>
    </row>
    <row r="99" spans="5:18" s="18" customFormat="1" ht="15.75" customHeight="1">
      <c r="E99" s="21"/>
      <c r="F99" s="44"/>
      <c r="G99" s="27"/>
      <c r="J99"/>
      <c r="K99"/>
      <c r="L99"/>
      <c r="M99"/>
      <c r="N99"/>
      <c r="O99"/>
      <c r="P99"/>
      <c r="Q99"/>
      <c r="R99"/>
    </row>
    <row r="100" spans="5:18" s="18" customFormat="1" ht="15.75" customHeight="1">
      <c r="E100" s="21"/>
      <c r="F100" s="44"/>
      <c r="G100" s="27"/>
      <c r="J100"/>
      <c r="K100"/>
      <c r="L100"/>
      <c r="M100"/>
      <c r="N100"/>
      <c r="O100"/>
      <c r="P100"/>
      <c r="Q100"/>
      <c r="R100"/>
    </row>
    <row r="101" spans="5:18" s="18" customFormat="1" ht="15.75" customHeight="1">
      <c r="E101" s="21"/>
      <c r="F101" s="44"/>
      <c r="G101" s="27"/>
      <c r="J101"/>
      <c r="K101"/>
      <c r="L101"/>
      <c r="M101"/>
      <c r="N101"/>
      <c r="O101"/>
      <c r="P101"/>
      <c r="Q101"/>
      <c r="R101"/>
    </row>
    <row r="102" spans="5:18" s="18" customFormat="1" ht="15.75" customHeight="1">
      <c r="E102" s="21"/>
      <c r="F102" s="44"/>
      <c r="G102" s="27"/>
      <c r="J102"/>
      <c r="K102"/>
      <c r="L102"/>
      <c r="M102"/>
      <c r="N102"/>
      <c r="O102"/>
      <c r="P102"/>
      <c r="Q102"/>
      <c r="R102"/>
    </row>
    <row r="103" spans="5:18" s="18" customFormat="1" ht="15.75" customHeight="1">
      <c r="E103" s="21"/>
      <c r="F103" s="44"/>
      <c r="G103" s="27"/>
      <c r="J103"/>
      <c r="K103"/>
      <c r="L103"/>
      <c r="M103"/>
      <c r="N103"/>
      <c r="O103"/>
      <c r="P103"/>
      <c r="Q103"/>
      <c r="R103"/>
    </row>
    <row r="104" spans="5:18" s="18" customFormat="1" ht="15.75" customHeight="1">
      <c r="E104" s="21"/>
      <c r="F104" s="44"/>
      <c r="G104" s="27"/>
      <c r="J104"/>
      <c r="K104"/>
      <c r="L104"/>
      <c r="M104"/>
      <c r="N104"/>
      <c r="O104"/>
      <c r="P104"/>
      <c r="Q104"/>
      <c r="R104"/>
    </row>
    <row r="105" spans="5:18" s="18" customFormat="1" ht="15.75" customHeight="1">
      <c r="E105" s="21"/>
      <c r="F105" s="44"/>
      <c r="G105" s="27"/>
      <c r="J105"/>
      <c r="K105"/>
      <c r="L105"/>
      <c r="M105"/>
      <c r="N105"/>
      <c r="O105"/>
      <c r="P105"/>
      <c r="Q105"/>
      <c r="R105"/>
    </row>
    <row r="106" spans="5:18" s="18" customFormat="1" ht="15.75" customHeight="1">
      <c r="E106" s="21"/>
      <c r="F106" s="44"/>
      <c r="G106" s="27"/>
      <c r="J106"/>
      <c r="K106"/>
      <c r="L106"/>
      <c r="M106"/>
      <c r="N106"/>
      <c r="O106"/>
      <c r="P106"/>
      <c r="Q106"/>
      <c r="R106"/>
    </row>
    <row r="107" spans="5:18" s="18" customFormat="1" ht="15.75" customHeight="1">
      <c r="E107" s="21"/>
      <c r="F107" s="44"/>
      <c r="G107" s="27"/>
      <c r="J107"/>
      <c r="K107"/>
      <c r="L107"/>
      <c r="M107"/>
      <c r="N107"/>
      <c r="O107"/>
      <c r="P107"/>
      <c r="Q107"/>
      <c r="R107"/>
    </row>
    <row r="108" spans="5:18" s="18" customFormat="1" ht="15.75" customHeight="1">
      <c r="E108" s="21"/>
      <c r="F108" s="44"/>
      <c r="G108" s="27"/>
      <c r="J108"/>
      <c r="K108"/>
      <c r="L108"/>
      <c r="M108"/>
      <c r="N108"/>
      <c r="O108"/>
      <c r="P108"/>
      <c r="Q108"/>
      <c r="R108"/>
    </row>
    <row r="109" spans="5:18" s="18" customFormat="1" ht="15.75" customHeight="1">
      <c r="E109" s="21"/>
      <c r="F109" s="44"/>
      <c r="G109" s="27"/>
      <c r="J109"/>
      <c r="K109"/>
      <c r="L109"/>
      <c r="M109"/>
      <c r="N109"/>
      <c r="O109"/>
      <c r="P109"/>
      <c r="Q109"/>
      <c r="R109"/>
    </row>
    <row r="110" spans="5:18" s="18" customFormat="1" ht="15.75" customHeight="1">
      <c r="E110" s="21"/>
      <c r="F110" s="44"/>
      <c r="G110" s="27"/>
      <c r="J110"/>
      <c r="K110"/>
      <c r="L110"/>
      <c r="M110"/>
      <c r="N110"/>
      <c r="O110"/>
      <c r="P110"/>
      <c r="Q110"/>
      <c r="R110"/>
    </row>
    <row r="111" spans="5:18" s="18" customFormat="1" ht="15.75" customHeight="1">
      <c r="E111" s="21"/>
      <c r="F111" s="44"/>
      <c r="G111" s="27"/>
      <c r="J111"/>
      <c r="K111"/>
      <c r="L111"/>
      <c r="M111"/>
      <c r="N111"/>
      <c r="O111"/>
      <c r="P111"/>
      <c r="Q111"/>
      <c r="R111"/>
    </row>
    <row r="112" spans="5:18" s="18" customFormat="1" ht="15.75" customHeight="1">
      <c r="E112" s="21"/>
      <c r="F112" s="44"/>
      <c r="G112" s="27"/>
      <c r="J112"/>
      <c r="K112"/>
      <c r="L112"/>
      <c r="M112"/>
      <c r="N112"/>
      <c r="O112"/>
      <c r="P112"/>
      <c r="Q112"/>
      <c r="R112"/>
    </row>
    <row r="113" spans="5:18" s="18" customFormat="1" ht="15.75" customHeight="1">
      <c r="E113" s="21"/>
      <c r="F113" s="44"/>
      <c r="G113" s="27"/>
      <c r="J113"/>
      <c r="K113"/>
      <c r="L113"/>
      <c r="M113"/>
      <c r="N113"/>
      <c r="O113"/>
      <c r="P113"/>
      <c r="Q113"/>
      <c r="R113"/>
    </row>
    <row r="114" spans="5:18" s="18" customFormat="1" ht="15.75" customHeight="1">
      <c r="E114" s="21"/>
      <c r="F114" s="44"/>
      <c r="G114" s="27"/>
      <c r="J114"/>
      <c r="K114"/>
      <c r="L114"/>
      <c r="M114"/>
      <c r="N114"/>
      <c r="O114"/>
      <c r="P114"/>
      <c r="Q114"/>
      <c r="R114"/>
    </row>
    <row r="115" spans="5:18" s="18" customFormat="1" ht="15.75" customHeight="1">
      <c r="E115" s="21"/>
      <c r="F115" s="44"/>
      <c r="G115" s="27"/>
      <c r="J115"/>
      <c r="K115"/>
      <c r="L115"/>
      <c r="M115"/>
      <c r="N115"/>
      <c r="O115"/>
      <c r="P115"/>
      <c r="Q115"/>
      <c r="R115"/>
    </row>
    <row r="116" spans="5:18" s="18" customFormat="1" ht="15.75" customHeight="1">
      <c r="E116" s="21"/>
      <c r="F116" s="44"/>
      <c r="G116" s="27"/>
      <c r="J116"/>
      <c r="K116"/>
      <c r="L116"/>
      <c r="M116"/>
      <c r="N116"/>
      <c r="O116"/>
      <c r="P116"/>
      <c r="Q116"/>
      <c r="R116"/>
    </row>
    <row r="117" spans="5:18" s="18" customFormat="1" ht="15.75" customHeight="1">
      <c r="E117" s="21"/>
      <c r="F117" s="44"/>
      <c r="G117" s="27"/>
      <c r="J117"/>
      <c r="K117"/>
      <c r="L117"/>
      <c r="M117"/>
      <c r="N117"/>
      <c r="O117"/>
      <c r="P117"/>
      <c r="Q117"/>
      <c r="R117"/>
    </row>
    <row r="118" spans="5:18" s="18" customFormat="1" ht="15.75" customHeight="1">
      <c r="E118" s="21"/>
      <c r="F118" s="44"/>
      <c r="G118" s="27"/>
      <c r="J118"/>
      <c r="K118"/>
      <c r="L118"/>
      <c r="M118"/>
      <c r="N118"/>
      <c r="O118"/>
      <c r="P118"/>
      <c r="Q118"/>
      <c r="R118"/>
    </row>
    <row r="119" spans="5:18" s="18" customFormat="1" ht="15.75" customHeight="1">
      <c r="E119" s="21"/>
      <c r="F119" s="44"/>
      <c r="G119" s="27"/>
      <c r="J119"/>
      <c r="K119"/>
      <c r="L119"/>
      <c r="M119"/>
      <c r="N119"/>
      <c r="O119"/>
      <c r="P119"/>
      <c r="Q119"/>
      <c r="R119"/>
    </row>
    <row r="120" spans="5:18" s="18" customFormat="1" ht="15.75" customHeight="1">
      <c r="E120" s="21"/>
      <c r="F120" s="44"/>
      <c r="G120" s="27"/>
      <c r="J120"/>
      <c r="K120"/>
      <c r="L120"/>
      <c r="M120"/>
      <c r="N120"/>
      <c r="O120"/>
      <c r="P120"/>
      <c r="Q120"/>
      <c r="R120"/>
    </row>
    <row r="121" spans="5:18" s="18" customFormat="1" ht="15.75" customHeight="1">
      <c r="E121" s="21"/>
      <c r="F121" s="44"/>
      <c r="G121" s="27"/>
      <c r="J121"/>
      <c r="K121"/>
      <c r="L121"/>
      <c r="M121"/>
      <c r="N121"/>
      <c r="O121"/>
      <c r="P121"/>
      <c r="Q121"/>
      <c r="R121"/>
    </row>
    <row r="122" spans="5:18" s="18" customFormat="1" ht="15.75" customHeight="1">
      <c r="E122" s="21"/>
      <c r="F122" s="44"/>
      <c r="G122" s="27"/>
      <c r="J122"/>
      <c r="K122"/>
      <c r="L122"/>
      <c r="M122"/>
      <c r="N122"/>
      <c r="O122"/>
      <c r="P122"/>
      <c r="Q122"/>
      <c r="R122"/>
    </row>
    <row r="123" spans="5:18" s="18" customFormat="1" ht="15.75" customHeight="1">
      <c r="E123" s="21"/>
      <c r="F123" s="44"/>
      <c r="G123" s="27"/>
      <c r="J123"/>
      <c r="K123"/>
      <c r="L123"/>
      <c r="M123"/>
      <c r="N123"/>
      <c r="O123"/>
      <c r="P123"/>
      <c r="Q123"/>
      <c r="R123"/>
    </row>
    <row r="124" spans="5:18" s="18" customFormat="1" ht="15.75" customHeight="1">
      <c r="E124" s="21"/>
      <c r="F124" s="44"/>
      <c r="G124" s="27"/>
      <c r="J124"/>
      <c r="K124"/>
      <c r="L124"/>
      <c r="M124"/>
      <c r="N124"/>
      <c r="O124"/>
      <c r="P124"/>
      <c r="Q124"/>
      <c r="R124"/>
    </row>
    <row r="125" spans="5:18" s="18" customFormat="1" ht="15.75" customHeight="1">
      <c r="E125" s="21"/>
      <c r="F125" s="44"/>
      <c r="G125" s="27"/>
      <c r="J125"/>
      <c r="K125"/>
      <c r="L125"/>
      <c r="M125"/>
      <c r="N125"/>
      <c r="O125"/>
      <c r="P125"/>
      <c r="Q125"/>
      <c r="R125"/>
    </row>
    <row r="126" spans="5:18" s="18" customFormat="1" ht="15.75" customHeight="1">
      <c r="E126" s="21"/>
      <c r="F126" s="44"/>
      <c r="G126" s="27"/>
      <c r="J126"/>
      <c r="K126"/>
      <c r="L126"/>
      <c r="M126"/>
      <c r="N126"/>
      <c r="O126"/>
      <c r="P126"/>
      <c r="Q126"/>
      <c r="R126"/>
    </row>
    <row r="127" spans="5:18" s="18" customFormat="1" ht="15.75" customHeight="1">
      <c r="E127" s="21"/>
      <c r="F127" s="44"/>
      <c r="G127" s="27"/>
      <c r="J127"/>
      <c r="K127"/>
      <c r="L127"/>
      <c r="M127"/>
      <c r="N127"/>
      <c r="O127"/>
      <c r="P127"/>
      <c r="Q127"/>
      <c r="R127"/>
    </row>
    <row r="128" spans="5:18" s="18" customFormat="1" ht="15.75" customHeight="1">
      <c r="E128" s="21"/>
      <c r="F128" s="44"/>
      <c r="G128" s="27"/>
      <c r="J128"/>
      <c r="K128"/>
      <c r="L128"/>
      <c r="M128"/>
      <c r="N128"/>
      <c r="O128"/>
      <c r="P128"/>
      <c r="Q128"/>
      <c r="R128"/>
    </row>
    <row r="129" spans="5:18" s="18" customFormat="1" ht="15.75" customHeight="1">
      <c r="E129" s="21"/>
      <c r="F129" s="44"/>
      <c r="G129" s="27"/>
      <c r="J129"/>
      <c r="K129"/>
      <c r="L129"/>
      <c r="M129"/>
      <c r="N129"/>
      <c r="O129"/>
      <c r="P129"/>
      <c r="Q129"/>
      <c r="R129"/>
    </row>
    <row r="130" spans="5:18" s="18" customFormat="1" ht="15.75" customHeight="1">
      <c r="E130" s="21"/>
      <c r="F130" s="44"/>
      <c r="G130" s="27"/>
      <c r="J130"/>
      <c r="K130"/>
      <c r="L130"/>
      <c r="M130"/>
      <c r="N130"/>
      <c r="O130"/>
      <c r="P130"/>
      <c r="Q130"/>
      <c r="R130"/>
    </row>
    <row r="131" spans="5:18" s="18" customFormat="1" ht="15.75" customHeight="1">
      <c r="E131" s="21"/>
      <c r="F131" s="44"/>
      <c r="G131" s="27"/>
      <c r="J131"/>
      <c r="K131"/>
      <c r="L131"/>
      <c r="M131"/>
      <c r="N131"/>
      <c r="O131"/>
      <c r="P131"/>
      <c r="Q131"/>
      <c r="R131"/>
    </row>
    <row r="132" spans="5:18" s="18" customFormat="1" ht="15.75" customHeight="1">
      <c r="E132" s="21"/>
      <c r="F132" s="44"/>
      <c r="G132" s="27"/>
      <c r="J132"/>
      <c r="K132"/>
      <c r="L132"/>
      <c r="M132"/>
      <c r="N132"/>
      <c r="O132"/>
      <c r="P132"/>
      <c r="Q132"/>
      <c r="R132"/>
    </row>
    <row r="133" spans="5:18" s="18" customFormat="1" ht="15.75" customHeight="1">
      <c r="E133" s="21"/>
      <c r="F133" s="44"/>
      <c r="G133" s="27"/>
      <c r="J133"/>
      <c r="K133"/>
      <c r="L133"/>
      <c r="M133"/>
      <c r="N133"/>
      <c r="O133"/>
      <c r="P133"/>
      <c r="Q133"/>
      <c r="R133"/>
    </row>
    <row r="134" spans="5:18" s="18" customFormat="1" ht="15.75" customHeight="1">
      <c r="E134" s="21"/>
      <c r="F134" s="44"/>
      <c r="G134" s="27"/>
      <c r="J134"/>
      <c r="K134"/>
      <c r="L134"/>
      <c r="M134"/>
      <c r="N134"/>
      <c r="O134"/>
      <c r="P134"/>
      <c r="Q134"/>
      <c r="R134"/>
    </row>
    <row r="135" spans="5:18" s="18" customFormat="1" ht="15.75" customHeight="1">
      <c r="E135" s="21"/>
      <c r="F135" s="44"/>
      <c r="G135" s="27"/>
      <c r="J135"/>
      <c r="K135"/>
      <c r="L135"/>
      <c r="M135"/>
      <c r="N135"/>
      <c r="O135"/>
      <c r="P135"/>
      <c r="Q135"/>
      <c r="R135"/>
    </row>
    <row r="136" spans="5:18" s="18" customFormat="1" ht="15.75" customHeight="1">
      <c r="E136" s="21"/>
      <c r="F136" s="44"/>
      <c r="G136" s="27"/>
      <c r="J136"/>
      <c r="K136"/>
      <c r="L136"/>
      <c r="M136"/>
      <c r="N136"/>
      <c r="O136"/>
      <c r="P136"/>
      <c r="Q136"/>
      <c r="R136"/>
    </row>
    <row r="137" spans="5:18" s="18" customFormat="1" ht="15.75" customHeight="1">
      <c r="E137" s="21"/>
      <c r="F137" s="44"/>
      <c r="G137" s="27"/>
      <c r="J137"/>
      <c r="K137"/>
      <c r="L137"/>
      <c r="M137"/>
      <c r="N137"/>
      <c r="O137"/>
      <c r="P137"/>
      <c r="Q137"/>
      <c r="R137"/>
    </row>
    <row r="138" spans="5:18" s="18" customFormat="1" ht="15.75" customHeight="1">
      <c r="E138" s="21"/>
      <c r="F138" s="44"/>
      <c r="G138" s="27"/>
      <c r="J138"/>
      <c r="K138"/>
      <c r="L138"/>
      <c r="M138"/>
      <c r="N138"/>
      <c r="O138"/>
      <c r="P138"/>
      <c r="Q138"/>
      <c r="R138"/>
    </row>
    <row r="139" spans="5:18" s="18" customFormat="1" ht="15.75" customHeight="1">
      <c r="E139" s="21"/>
      <c r="F139" s="44"/>
      <c r="G139" s="27"/>
      <c r="J139"/>
      <c r="K139"/>
      <c r="L139"/>
      <c r="M139"/>
      <c r="N139"/>
      <c r="O139"/>
      <c r="P139"/>
      <c r="Q139"/>
      <c r="R139"/>
    </row>
    <row r="140" spans="5:18" s="18" customFormat="1" ht="15.75" customHeight="1">
      <c r="E140" s="21"/>
      <c r="F140" s="44"/>
      <c r="G140" s="27"/>
      <c r="J140"/>
      <c r="K140"/>
      <c r="L140"/>
      <c r="M140"/>
      <c r="N140"/>
      <c r="O140"/>
      <c r="P140"/>
      <c r="Q140"/>
      <c r="R140"/>
    </row>
    <row r="141" spans="5:18" s="18" customFormat="1" ht="15.75" customHeight="1">
      <c r="E141" s="21"/>
      <c r="F141" s="44"/>
      <c r="G141" s="27"/>
      <c r="J141"/>
      <c r="K141"/>
      <c r="L141"/>
      <c r="M141"/>
      <c r="N141"/>
      <c r="O141"/>
      <c r="P141"/>
      <c r="Q141"/>
      <c r="R141"/>
    </row>
    <row r="142" spans="5:18" s="18" customFormat="1" ht="15.75" customHeight="1">
      <c r="E142" s="21"/>
      <c r="F142" s="44"/>
      <c r="G142" s="27"/>
      <c r="J142"/>
      <c r="K142"/>
      <c r="L142"/>
      <c r="M142"/>
      <c r="N142"/>
      <c r="O142"/>
      <c r="P142"/>
      <c r="Q142"/>
      <c r="R142"/>
    </row>
    <row r="143" spans="5:18" s="18" customFormat="1" ht="15.75" customHeight="1">
      <c r="E143" s="21"/>
      <c r="F143" s="44"/>
      <c r="G143" s="27"/>
      <c r="J143"/>
      <c r="K143"/>
      <c r="L143"/>
      <c r="M143"/>
      <c r="N143"/>
      <c r="O143"/>
      <c r="P143"/>
      <c r="Q143"/>
      <c r="R143"/>
    </row>
    <row r="144" spans="5:18" s="18" customFormat="1" ht="15.75" customHeight="1">
      <c r="E144" s="21"/>
      <c r="F144" s="44"/>
      <c r="G144" s="27"/>
      <c r="J144"/>
      <c r="K144"/>
      <c r="L144"/>
      <c r="M144"/>
      <c r="N144"/>
      <c r="O144"/>
      <c r="P144"/>
      <c r="Q144"/>
      <c r="R144"/>
    </row>
    <row r="145" spans="5:18" s="18" customFormat="1" ht="15.75" customHeight="1">
      <c r="E145" s="21"/>
      <c r="F145" s="44"/>
      <c r="G145" s="27"/>
      <c r="J145"/>
      <c r="K145"/>
      <c r="L145"/>
      <c r="M145"/>
      <c r="N145"/>
      <c r="O145"/>
      <c r="P145"/>
      <c r="Q145"/>
      <c r="R145"/>
    </row>
  </sheetData>
  <autoFilter ref="A8:P17" xr:uid="{00000000-0009-0000-0000-000000000000}"/>
  <mergeCells count="40">
    <mergeCell ref="B1:D1"/>
    <mergeCell ref="E1:I1"/>
    <mergeCell ref="N1:P1"/>
    <mergeCell ref="E2:E6"/>
    <mergeCell ref="F2:G2"/>
    <mergeCell ref="J2:L6"/>
    <mergeCell ref="M2:M6"/>
    <mergeCell ref="N2:N6"/>
    <mergeCell ref="O2:P6"/>
    <mergeCell ref="F6:I6"/>
    <mergeCell ref="R2:R5"/>
    <mergeCell ref="C3:C5"/>
    <mergeCell ref="D3:D5"/>
    <mergeCell ref="F3:G3"/>
    <mergeCell ref="F4:G4"/>
    <mergeCell ref="F5:G5"/>
    <mergeCell ref="Q2:Q5"/>
    <mergeCell ref="E9:F9"/>
    <mergeCell ref="N9:O9"/>
    <mergeCell ref="E10:F10"/>
    <mergeCell ref="N10:O10"/>
    <mergeCell ref="B7:D7"/>
    <mergeCell ref="E7:I7"/>
    <mergeCell ref="J7:L7"/>
    <mergeCell ref="N7:P7"/>
    <mergeCell ref="E8:F8"/>
    <mergeCell ref="N8:O8"/>
    <mergeCell ref="E14:F14"/>
    <mergeCell ref="N14:O14"/>
    <mergeCell ref="E12:F12"/>
    <mergeCell ref="E11:F11"/>
    <mergeCell ref="N11:O11"/>
    <mergeCell ref="E13:F13"/>
    <mergeCell ref="E16:F16"/>
    <mergeCell ref="N16:O16"/>
    <mergeCell ref="E17:F17"/>
    <mergeCell ref="N17:O17"/>
    <mergeCell ref="E18:F18"/>
    <mergeCell ref="G18:H18"/>
    <mergeCell ref="N18:O18"/>
  </mergeCells>
  <phoneticPr fontId="13" type="noConversion"/>
  <conditionalFormatting sqref="A9:A17">
    <cfRule type="expression" dxfId="26" priority="3">
      <formula>M9 = "On Hold"</formula>
    </cfRule>
  </conditionalFormatting>
  <conditionalFormatting sqref="B2:B5 J9:P17">
    <cfRule type="cellIs" dxfId="25" priority="1" operator="equal">
      <formula>"Done"</formula>
    </cfRule>
    <cfRule type="cellIs" dxfId="24" priority="2" operator="equal">
      <formula>"On Hold"</formula>
    </cfRule>
    <cfRule type="cellIs" dxfId="23" priority="4" operator="equal">
      <formula>"Ready for Review"</formula>
    </cfRule>
    <cfRule type="cellIs" dxfId="22" priority="5" operator="equal">
      <formula>"In Review"</formula>
    </cfRule>
  </conditionalFormatting>
  <dataValidations count="7">
    <dataValidation type="list" allowBlank="1" showErrorMessage="1" sqref="B2" xr:uid="{477AC1D5-60F0-4708-B6DB-9C6BDB58E437}">
      <formula1>STT_Statuses</formula1>
    </dataValidation>
    <dataValidation type="list" allowBlank="1" sqref="B4:B5" xr:uid="{512C54FA-4DDC-4461-A875-A3E63EFF16A1}">
      <formula1>ETL_Statuses</formula1>
    </dataValidation>
    <dataValidation type="list" allowBlank="1" sqref="B3 M9:M17" xr:uid="{A86075BF-C589-4E3D-A167-6541B6785EDD}">
      <formula1>Statuses</formula1>
    </dataValidation>
    <dataValidation type="list" allowBlank="1" sqref="N9:N17" xr:uid="{D5BED0BE-595B-46BD-9D94-35B4910023F1}">
      <formula1>Categories</formula1>
    </dataValidation>
    <dataValidation type="list" allowBlank="1" sqref="P9:P17" xr:uid="{297C5830-5951-437F-80B8-EEF6F1B66238}">
      <formula1>Versions</formula1>
    </dataValidation>
    <dataValidation type="list" allowBlank="1" sqref="E9:E17" xr:uid="{DC491E42-8EA2-4136-A535-40C507E7605C}">
      <formula1>Sources</formula1>
    </dataValidation>
    <dataValidation type="list" allowBlank="1" sqref="B9:B17" xr:uid="{A25B46E1-6E61-4721-AA50-7D28BFB75C1C}">
      <formula1>Data_Types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1F435-51AC-4694-A265-C89AC2930E5D}">
  <sheetPr>
    <tabColor theme="6" tint="0.59999389629810485"/>
    <outlinePr summaryBelow="0" summaryRight="0"/>
  </sheetPr>
  <dimension ref="A1:O142"/>
  <sheetViews>
    <sheetView zoomScale="90" zoomScaleNormal="90" workbookViewId="0">
      <pane xSplit="1" ySplit="8" topLeftCell="B9" activePane="bottomRight" state="frozen"/>
      <selection pane="bottomRight" activeCell="D3" sqref="D3:D5"/>
      <selection pane="bottomLeft" activeCell="A9" sqref="A9"/>
      <selection pane="topRight" activeCell="B1" sqref="B1"/>
    </sheetView>
  </sheetViews>
  <sheetFormatPr defaultColWidth="12.7109375" defaultRowHeight="15" customHeight="1" outlineLevelRow="1" outlineLevelCol="1"/>
  <cols>
    <col min="1" max="1" width="26.140625" style="18" customWidth="1"/>
    <col min="2" max="2" width="16.28515625" style="18" customWidth="1" outlineLevel="1"/>
    <col min="3" max="3" width="7" style="18" customWidth="1" outlineLevel="1"/>
    <col min="4" max="4" width="23" style="18" customWidth="1" outlineLevel="1"/>
    <col min="5" max="5" width="2.28515625" style="21" customWidth="1"/>
    <col min="6" max="6" width="12.7109375" style="44" customWidth="1" outlineLevel="1"/>
    <col min="7" max="7" width="18.140625" style="27" customWidth="1" outlineLevel="1"/>
    <col min="8" max="8" width="26.85546875" style="18" customWidth="1" outlineLevel="1"/>
    <col min="9" max="9" width="14.42578125" style="18" customWidth="1" outlineLevel="1"/>
    <col min="10" max="10" width="2.28515625" customWidth="1"/>
    <col min="11" max="11" width="2.28515625" customWidth="1" collapsed="1"/>
    <col min="12" max="12" width="10.7109375" hidden="1" customWidth="1" outlineLevel="1"/>
    <col min="13" max="13" width="11" hidden="1" customWidth="1" outlineLevel="1"/>
    <col min="14" max="14" width="51.140625" customWidth="1"/>
    <col min="15" max="15" width="48.42578125" customWidth="1"/>
  </cols>
  <sheetData>
    <row r="1" spans="1:15" ht="5.25" customHeight="1" outlineLevel="1">
      <c r="A1" s="28"/>
      <c r="B1" s="109"/>
      <c r="C1" s="106"/>
      <c r="D1" s="106"/>
      <c r="E1" s="110"/>
      <c r="F1" s="106"/>
      <c r="G1" s="106"/>
      <c r="H1" s="106"/>
      <c r="I1" s="106"/>
      <c r="J1" s="2"/>
      <c r="K1" s="111"/>
      <c r="L1" s="124"/>
      <c r="M1" s="124"/>
    </row>
    <row r="2" spans="1:15" ht="15.75" customHeight="1" outlineLevel="1">
      <c r="A2" s="29" t="s">
        <v>0</v>
      </c>
      <c r="B2" s="29" t="s">
        <v>1</v>
      </c>
      <c r="C2" s="30"/>
      <c r="D2" s="31" t="s">
        <v>2</v>
      </c>
      <c r="E2" s="112" t="s">
        <v>3</v>
      </c>
      <c r="F2" s="115" t="s">
        <v>4</v>
      </c>
      <c r="G2" s="116"/>
      <c r="H2" s="19" t="s">
        <v>5</v>
      </c>
      <c r="I2" s="20"/>
      <c r="J2" s="118" t="s">
        <v>6</v>
      </c>
      <c r="K2" s="119" t="s">
        <v>7</v>
      </c>
      <c r="L2" s="120"/>
      <c r="M2" s="126"/>
      <c r="N2" s="127" t="s">
        <v>8</v>
      </c>
      <c r="O2" s="128" t="s">
        <v>9</v>
      </c>
    </row>
    <row r="3" spans="1:15" ht="15.75" customHeight="1" outlineLevel="1">
      <c r="A3" s="29" t="s">
        <v>10</v>
      </c>
      <c r="B3" s="29"/>
      <c r="C3" s="108"/>
      <c r="D3" s="121" t="s">
        <v>521</v>
      </c>
      <c r="E3" s="113"/>
      <c r="F3" s="103" t="s">
        <v>522</v>
      </c>
      <c r="G3" s="104"/>
      <c r="H3" s="19" t="s">
        <v>13</v>
      </c>
      <c r="I3" s="20"/>
      <c r="J3" s="131"/>
      <c r="K3" s="131"/>
      <c r="L3" s="129"/>
      <c r="M3" s="130"/>
      <c r="N3" s="127"/>
      <c r="O3" s="128"/>
    </row>
    <row r="4" spans="1:15" ht="15.75" customHeight="1" outlineLevel="1">
      <c r="A4" s="29" t="s">
        <v>14</v>
      </c>
      <c r="B4" s="29"/>
      <c r="C4" s="108"/>
      <c r="D4" s="113"/>
      <c r="E4" s="113"/>
      <c r="F4" s="115" t="s">
        <v>15</v>
      </c>
      <c r="G4" s="116"/>
      <c r="H4" s="19" t="s">
        <v>16</v>
      </c>
      <c r="I4" s="20"/>
      <c r="J4" s="131"/>
      <c r="K4" s="131"/>
      <c r="L4" s="129"/>
      <c r="M4" s="130"/>
      <c r="N4" s="127"/>
      <c r="O4" s="128"/>
    </row>
    <row r="5" spans="1:15" ht="15.75" customHeight="1" outlineLevel="1">
      <c r="A5" s="29" t="s">
        <v>17</v>
      </c>
      <c r="B5" s="29"/>
      <c r="C5" s="108"/>
      <c r="D5" s="114"/>
      <c r="E5" s="113"/>
      <c r="F5" s="103" t="s">
        <v>18</v>
      </c>
      <c r="G5" s="104"/>
      <c r="H5" s="19" t="s">
        <v>19</v>
      </c>
      <c r="I5" s="20"/>
      <c r="J5" s="131"/>
      <c r="K5" s="131"/>
      <c r="L5" s="129"/>
      <c r="M5" s="130"/>
      <c r="N5" s="132"/>
      <c r="O5" s="133"/>
    </row>
    <row r="6" spans="1:15" ht="15.75" customHeight="1" outlineLevel="1">
      <c r="A6" s="21"/>
      <c r="B6" s="21"/>
      <c r="C6" s="32" t="e" vm="1">
        <v>#VALUE!</v>
      </c>
      <c r="D6" s="21"/>
      <c r="E6" s="114"/>
      <c r="F6" s="108"/>
      <c r="G6" s="108"/>
      <c r="H6" s="108"/>
      <c r="I6" s="108"/>
      <c r="J6" s="137"/>
      <c r="K6" s="137"/>
      <c r="L6" s="134"/>
      <c r="M6" s="136"/>
      <c r="N6" s="10" t="s">
        <v>20</v>
      </c>
      <c r="O6" s="10" t="s">
        <v>20</v>
      </c>
    </row>
    <row r="7" spans="1:15" ht="15.75" customHeight="1">
      <c r="A7" s="33" t="s">
        <v>21</v>
      </c>
      <c r="B7" s="98" t="s">
        <v>21</v>
      </c>
      <c r="C7" s="99"/>
      <c r="D7" s="99"/>
      <c r="E7" s="100" t="s">
        <v>22</v>
      </c>
      <c r="F7" s="99"/>
      <c r="G7" s="99"/>
      <c r="H7" s="99"/>
      <c r="I7" s="101"/>
      <c r="J7" s="53" t="s">
        <v>23</v>
      </c>
      <c r="K7" s="102" t="s">
        <v>24</v>
      </c>
      <c r="L7" s="138"/>
      <c r="M7" s="139"/>
      <c r="N7" s="11" t="e">
        <f ca="1">"CREATE OR REPLACE TABLE " &amp; GetSheetName()</f>
        <v>#NAME?</v>
      </c>
      <c r="O7" s="11" t="e">
        <f ca="1">"CREATE OR REPLACE TABLE " &amp; GetSheetName()</f>
        <v>#NAME?</v>
      </c>
    </row>
    <row r="8" spans="1:15" ht="15.75" customHeight="1">
      <c r="A8" s="34" t="s">
        <v>26</v>
      </c>
      <c r="B8" s="34" t="s">
        <v>27</v>
      </c>
      <c r="C8" s="34" t="s">
        <v>28</v>
      </c>
      <c r="D8" s="35" t="s">
        <v>29</v>
      </c>
      <c r="E8" s="94" t="s">
        <v>30</v>
      </c>
      <c r="F8" s="101"/>
      <c r="G8" s="17" t="s">
        <v>31</v>
      </c>
      <c r="H8" s="22" t="s">
        <v>32</v>
      </c>
      <c r="I8" s="23" t="s">
        <v>33</v>
      </c>
      <c r="J8" s="52" t="s">
        <v>34</v>
      </c>
      <c r="K8" s="140" t="s">
        <v>35</v>
      </c>
      <c r="L8" s="139"/>
      <c r="M8" s="13" t="s">
        <v>36</v>
      </c>
      <c r="N8" s="14" t="str">
        <f>"("</f>
        <v>(</v>
      </c>
      <c r="O8" s="14" t="str">
        <f>"("</f>
        <v>(</v>
      </c>
    </row>
    <row r="9" spans="1:15" ht="15.75" customHeight="1" outlineLevel="1">
      <c r="A9" s="37" t="s">
        <v>99</v>
      </c>
      <c r="B9" s="34" t="s">
        <v>50</v>
      </c>
      <c r="C9" s="36" t="e" vm="2">
        <f>C6</f>
        <v>#VALUE!</v>
      </c>
      <c r="D9" s="16" t="s">
        <v>523</v>
      </c>
      <c r="E9" s="94" t="s">
        <v>281</v>
      </c>
      <c r="F9" s="95"/>
      <c r="G9" s="17" t="s">
        <v>524</v>
      </c>
      <c r="H9" s="17" t="s">
        <v>99</v>
      </c>
      <c r="I9" s="23"/>
      <c r="J9" s="49"/>
      <c r="K9" s="140" t="s">
        <v>42</v>
      </c>
      <c r="L9" s="141"/>
      <c r="M9" s="13" t="s">
        <v>43</v>
      </c>
      <c r="N9" s="14"/>
      <c r="O9" s="14"/>
    </row>
    <row r="10" spans="1:15" ht="15.75" customHeight="1" outlineLevel="1">
      <c r="A10" s="37" t="s">
        <v>102</v>
      </c>
      <c r="B10" s="34" t="s">
        <v>38</v>
      </c>
      <c r="C10" s="36"/>
      <c r="D10" s="16" t="s">
        <v>103</v>
      </c>
      <c r="E10" s="94" t="s">
        <v>281</v>
      </c>
      <c r="F10" s="95"/>
      <c r="G10" s="17" t="s">
        <v>524</v>
      </c>
      <c r="H10" s="17" t="s">
        <v>102</v>
      </c>
      <c r="I10" s="17"/>
      <c r="J10" s="49"/>
      <c r="K10" s="140"/>
      <c r="L10" s="141"/>
      <c r="M10" s="13"/>
      <c r="N10" s="14"/>
      <c r="O10" s="14"/>
    </row>
    <row r="11" spans="1:15" ht="15.75" customHeight="1" outlineLevel="1">
      <c r="A11" s="37" t="s">
        <v>525</v>
      </c>
      <c r="B11" s="34" t="s">
        <v>38</v>
      </c>
      <c r="C11" s="36"/>
      <c r="D11" s="16" t="s">
        <v>526</v>
      </c>
      <c r="E11" s="94" t="s">
        <v>281</v>
      </c>
      <c r="F11" s="95"/>
      <c r="G11" s="17" t="s">
        <v>524</v>
      </c>
      <c r="H11" s="17" t="s">
        <v>525</v>
      </c>
      <c r="I11" s="48"/>
      <c r="J11" s="49"/>
      <c r="K11" s="42"/>
      <c r="L11" s="43"/>
      <c r="M11" s="13"/>
      <c r="N11" s="14"/>
      <c r="O11" s="14"/>
    </row>
    <row r="12" spans="1:15" ht="15.75" customHeight="1" outlineLevel="1">
      <c r="A12" s="37" t="s">
        <v>97</v>
      </c>
      <c r="B12" s="34" t="s">
        <v>38</v>
      </c>
      <c r="C12" s="36"/>
      <c r="D12" s="16" t="s">
        <v>527</v>
      </c>
      <c r="E12" s="94" t="s">
        <v>281</v>
      </c>
      <c r="F12" s="95"/>
      <c r="G12" s="17" t="s">
        <v>524</v>
      </c>
      <c r="H12" s="22" t="s">
        <v>97</v>
      </c>
      <c r="I12" s="48"/>
      <c r="J12" s="49"/>
      <c r="K12" s="42"/>
      <c r="L12" s="43"/>
      <c r="M12" s="13"/>
      <c r="N12" s="14"/>
      <c r="O12" s="14"/>
    </row>
    <row r="13" spans="1:15" ht="15.75" customHeight="1" outlineLevel="1">
      <c r="A13" s="37"/>
      <c r="B13" s="34"/>
      <c r="C13" s="36"/>
      <c r="D13" s="15"/>
      <c r="E13" s="46"/>
      <c r="F13" s="47"/>
      <c r="G13" s="17"/>
      <c r="H13" s="22"/>
      <c r="I13" s="23"/>
      <c r="J13" s="49"/>
      <c r="K13" s="42"/>
      <c r="L13" s="43"/>
      <c r="M13" s="13"/>
      <c r="N13" s="14"/>
      <c r="O13" s="14"/>
    </row>
    <row r="14" spans="1:15" ht="15.75" customHeight="1" outlineLevel="1">
      <c r="A14" s="38" t="s">
        <v>109</v>
      </c>
      <c r="B14" s="39"/>
      <c r="C14" s="40"/>
      <c r="D14" s="9"/>
      <c r="E14" s="94"/>
      <c r="F14" s="95"/>
      <c r="G14" s="17"/>
      <c r="H14" s="25"/>
      <c r="I14" s="24"/>
      <c r="J14" s="49"/>
      <c r="K14" s="142"/>
      <c r="L14" s="143"/>
      <c r="M14" s="4"/>
      <c r="N14" s="14"/>
      <c r="O14" s="14"/>
    </row>
    <row r="15" spans="1:15" ht="15.75" customHeight="1">
      <c r="E15" s="107"/>
      <c r="F15" s="108"/>
      <c r="G15" s="105"/>
      <c r="H15" s="106"/>
      <c r="I15" s="26"/>
      <c r="K15" s="124"/>
      <c r="L15" s="124"/>
      <c r="N15" s="5" t="s">
        <v>486</v>
      </c>
      <c r="O15" s="5" t="s">
        <v>486</v>
      </c>
    </row>
    <row r="16" spans="1:15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</sheetData>
  <autoFilter ref="A8:M14" xr:uid="{00000000-0009-0000-0000-000000000000}"/>
  <mergeCells count="32">
    <mergeCell ref="E14:F14"/>
    <mergeCell ref="K14:L14"/>
    <mergeCell ref="K15:L15"/>
    <mergeCell ref="E15:F15"/>
    <mergeCell ref="G15:H15"/>
    <mergeCell ref="E9:F9"/>
    <mergeCell ref="K9:L9"/>
    <mergeCell ref="E10:F10"/>
    <mergeCell ref="K10:L10"/>
    <mergeCell ref="E12:F12"/>
    <mergeCell ref="E11:F11"/>
    <mergeCell ref="E8:F8"/>
    <mergeCell ref="K8:L8"/>
    <mergeCell ref="O2:O5"/>
    <mergeCell ref="C3:C5"/>
    <mergeCell ref="D3:D5"/>
    <mergeCell ref="F3:G3"/>
    <mergeCell ref="F4:G4"/>
    <mergeCell ref="F5:G5"/>
    <mergeCell ref="J2:J6"/>
    <mergeCell ref="K2:K6"/>
    <mergeCell ref="L2:M6"/>
    <mergeCell ref="E2:E6"/>
    <mergeCell ref="F2:G2"/>
    <mergeCell ref="F6:I6"/>
    <mergeCell ref="N2:N5"/>
    <mergeCell ref="B1:D1"/>
    <mergeCell ref="E1:I1"/>
    <mergeCell ref="K1:M1"/>
    <mergeCell ref="B7:D7"/>
    <mergeCell ref="E7:I7"/>
    <mergeCell ref="K7:M7"/>
  </mergeCells>
  <conditionalFormatting sqref="A9:A14">
    <cfRule type="expression" dxfId="21" priority="6">
      <formula>J9 = "On Hold"</formula>
    </cfRule>
  </conditionalFormatting>
  <conditionalFormatting sqref="B2:B5 J9:M14">
    <cfRule type="cellIs" dxfId="20" priority="4" operator="equal">
      <formula>"Done"</formula>
    </cfRule>
    <cfRule type="cellIs" dxfId="19" priority="5" operator="equal">
      <formula>"On Hold"</formula>
    </cfRule>
    <cfRule type="cellIs" dxfId="18" priority="7" operator="equal">
      <formula>"Ready for Review"</formula>
    </cfRule>
    <cfRule type="cellIs" dxfId="17" priority="8" operator="equal">
      <formula>"In Review"</formula>
    </cfRule>
  </conditionalFormatting>
  <dataValidations count="7">
    <dataValidation type="list" allowBlank="1" sqref="B3 J9:J14" xr:uid="{3536A609-AF57-4059-91FF-B3435C4D0774}">
      <formula1>Statuses</formula1>
    </dataValidation>
    <dataValidation type="list" allowBlank="1" sqref="B4:B5" xr:uid="{0AFFA6AB-7B13-4FB4-8562-B052B1E72E2F}">
      <formula1>ETL_Statuses</formula1>
    </dataValidation>
    <dataValidation type="list" allowBlank="1" showErrorMessage="1" sqref="B2" xr:uid="{172B6FFA-E859-4F9D-AFCA-B4E8D0EDA062}">
      <formula1>STT_Statuses</formula1>
    </dataValidation>
    <dataValidation type="list" allowBlank="1" sqref="B9:B14" xr:uid="{9AE218D2-F8E5-492E-AF2A-E06950039D61}">
      <formula1>Data_Types</formula1>
    </dataValidation>
    <dataValidation type="list" allowBlank="1" sqref="E9:E14" xr:uid="{FF632B05-3A1A-4945-8E45-273D32214003}">
      <formula1>Sources</formula1>
    </dataValidation>
    <dataValidation type="list" allowBlank="1" sqref="M9:M14" xr:uid="{9CF8BA4E-63AB-4124-A748-D8A88E72CE57}">
      <formula1>Versions</formula1>
    </dataValidation>
    <dataValidation type="list" allowBlank="1" sqref="K9:K14" xr:uid="{A9E94411-3E93-43E7-AD07-C94CD0714F23}">
      <formula1>Categories</formula1>
    </dataValidation>
  </dataValidation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7D99E-B47A-45E9-9957-4202344DC1C4}">
  <sheetPr>
    <tabColor theme="6" tint="0.59999389629810485"/>
    <outlinePr summaryBelow="0" summaryRight="0"/>
  </sheetPr>
  <dimension ref="A1:R157"/>
  <sheetViews>
    <sheetView zoomScale="80" zoomScaleNormal="80" workbookViewId="0">
      <pane xSplit="1" ySplit="8" topLeftCell="B9" activePane="bottomRight" state="frozen"/>
      <selection pane="bottomRight" activeCell="A27" sqref="A27"/>
      <selection pane="bottomLeft" activeCell="A9" sqref="A9"/>
      <selection pane="topRight" activeCell="B1" sqref="B1"/>
    </sheetView>
  </sheetViews>
  <sheetFormatPr defaultColWidth="12.7109375" defaultRowHeight="15" customHeight="1" outlineLevelRow="1" outlineLevelCol="1"/>
  <cols>
    <col min="1" max="1" width="35.7109375" style="18" customWidth="1"/>
    <col min="2" max="2" width="16.28515625" style="18" customWidth="1" outlineLevel="1"/>
    <col min="3" max="3" width="7" style="18" customWidth="1" outlineLevel="1"/>
    <col min="4" max="4" width="28" style="18" customWidth="1" outlineLevel="1"/>
    <col min="5" max="5" width="2.28515625" style="21" customWidth="1"/>
    <col min="6" max="6" width="12.7109375" style="44" customWidth="1" outlineLevel="1"/>
    <col min="7" max="7" width="26.85546875" style="27" customWidth="1" outlineLevel="1"/>
    <col min="8" max="8" width="30.7109375" style="18" customWidth="1" outlineLevel="1"/>
    <col min="9" max="9" width="33.140625" style="18" customWidth="1" outlineLevel="1"/>
    <col min="10" max="10" width="5.85546875" hidden="1" customWidth="1" outlineLevel="1"/>
    <col min="11" max="11" width="5" hidden="1" customWidth="1" outlineLevel="1"/>
    <col min="12" max="12" width="11.7109375" hidden="1" customWidth="1" outlineLevel="1"/>
    <col min="13" max="13" width="2.28515625" customWidth="1"/>
    <col min="14" max="14" width="2.28515625" customWidth="1" collapsed="1"/>
    <col min="15" max="15" width="10.7109375" hidden="1" customWidth="1" outlineLevel="1"/>
    <col min="16" max="16" width="11" hidden="1" customWidth="1" outlineLevel="1"/>
    <col min="17" max="18" width="47.7109375" customWidth="1"/>
  </cols>
  <sheetData>
    <row r="1" spans="1:18" ht="5.25" customHeight="1" outlineLevel="1">
      <c r="A1" s="28"/>
      <c r="B1" s="109"/>
      <c r="C1" s="106"/>
      <c r="D1" s="106"/>
      <c r="E1" s="110"/>
      <c r="F1" s="106"/>
      <c r="G1" s="106"/>
      <c r="H1" s="106"/>
      <c r="I1" s="106"/>
      <c r="J1" s="2"/>
      <c r="K1" s="2"/>
      <c r="L1" s="2"/>
      <c r="M1" s="2"/>
      <c r="N1" s="111"/>
      <c r="O1" s="124"/>
      <c r="P1" s="124"/>
    </row>
    <row r="2" spans="1:18" ht="15.75" customHeight="1" outlineLevel="1">
      <c r="A2" s="29" t="s">
        <v>0</v>
      </c>
      <c r="B2" s="29" t="s">
        <v>1</v>
      </c>
      <c r="C2" s="30"/>
      <c r="D2" s="31" t="s">
        <v>2</v>
      </c>
      <c r="E2" s="112" t="s">
        <v>3</v>
      </c>
      <c r="F2" s="115" t="s">
        <v>4</v>
      </c>
      <c r="G2" s="116"/>
      <c r="H2" s="19" t="s">
        <v>5</v>
      </c>
      <c r="I2" s="20"/>
      <c r="J2" s="117"/>
      <c r="K2" s="125"/>
      <c r="L2" s="126"/>
      <c r="M2" s="118" t="s">
        <v>6</v>
      </c>
      <c r="N2" s="119" t="s">
        <v>7</v>
      </c>
      <c r="O2" s="120"/>
      <c r="P2" s="126"/>
      <c r="Q2" s="127" t="s">
        <v>8</v>
      </c>
      <c r="R2" s="128" t="s">
        <v>9</v>
      </c>
    </row>
    <row r="3" spans="1:18" ht="15.75" customHeight="1" outlineLevel="1">
      <c r="A3" s="29" t="s">
        <v>10</v>
      </c>
      <c r="B3" s="29"/>
      <c r="C3" s="108"/>
      <c r="D3" s="121" t="s">
        <v>528</v>
      </c>
      <c r="E3" s="113"/>
      <c r="F3" s="103" t="s">
        <v>529</v>
      </c>
      <c r="G3" s="104"/>
      <c r="H3" s="19" t="s">
        <v>13</v>
      </c>
      <c r="I3" s="20"/>
      <c r="J3" s="129"/>
      <c r="K3" s="128"/>
      <c r="L3" s="130"/>
      <c r="M3" s="131"/>
      <c r="N3" s="131"/>
      <c r="O3" s="129"/>
      <c r="P3" s="130"/>
      <c r="Q3" s="127"/>
      <c r="R3" s="128"/>
    </row>
    <row r="4" spans="1:18" ht="15.75" customHeight="1" outlineLevel="1">
      <c r="A4" s="29" t="s">
        <v>14</v>
      </c>
      <c r="B4" s="29"/>
      <c r="C4" s="108"/>
      <c r="D4" s="113"/>
      <c r="E4" s="113"/>
      <c r="F4" s="115" t="s">
        <v>15</v>
      </c>
      <c r="G4" s="116"/>
      <c r="H4" s="19" t="s">
        <v>16</v>
      </c>
      <c r="I4" s="20"/>
      <c r="J4" s="129"/>
      <c r="K4" s="128"/>
      <c r="L4" s="130"/>
      <c r="M4" s="131"/>
      <c r="N4" s="131"/>
      <c r="O4" s="129"/>
      <c r="P4" s="130"/>
      <c r="Q4" s="127"/>
      <c r="R4" s="128"/>
    </row>
    <row r="5" spans="1:18" ht="15.75" customHeight="1" outlineLevel="1">
      <c r="A5" s="29" t="s">
        <v>17</v>
      </c>
      <c r="B5" s="29"/>
      <c r="C5" s="108"/>
      <c r="D5" s="114"/>
      <c r="E5" s="113"/>
      <c r="F5" s="103" t="s">
        <v>18</v>
      </c>
      <c r="G5" s="104"/>
      <c r="H5" s="19" t="s">
        <v>19</v>
      </c>
      <c r="I5" s="20"/>
      <c r="J5" s="129"/>
      <c r="K5" s="128"/>
      <c r="L5" s="130"/>
      <c r="M5" s="131"/>
      <c r="N5" s="131"/>
      <c r="O5" s="129"/>
      <c r="P5" s="130"/>
      <c r="Q5" s="132"/>
      <c r="R5" s="133"/>
    </row>
    <row r="6" spans="1:18" ht="15.75" customHeight="1" outlineLevel="1">
      <c r="A6" s="21"/>
      <c r="B6" s="21"/>
      <c r="C6" s="32" t="e" vm="1">
        <v>#VALUE!</v>
      </c>
      <c r="D6" s="21"/>
      <c r="E6" s="114"/>
      <c r="F6" s="108"/>
      <c r="G6" s="108"/>
      <c r="H6" s="108"/>
      <c r="I6" s="108"/>
      <c r="J6" s="134"/>
      <c r="K6" s="135"/>
      <c r="L6" s="136"/>
      <c r="M6" s="137"/>
      <c r="N6" s="137"/>
      <c r="O6" s="134"/>
      <c r="P6" s="136"/>
      <c r="Q6" s="10" t="s">
        <v>20</v>
      </c>
      <c r="R6" s="10" t="s">
        <v>20</v>
      </c>
    </row>
    <row r="7" spans="1:18" ht="15.75" customHeight="1">
      <c r="A7" s="33" t="s">
        <v>21</v>
      </c>
      <c r="B7" s="98" t="s">
        <v>21</v>
      </c>
      <c r="C7" s="99"/>
      <c r="D7" s="99"/>
      <c r="E7" s="100" t="s">
        <v>22</v>
      </c>
      <c r="F7" s="99"/>
      <c r="G7" s="99"/>
      <c r="H7" s="99"/>
      <c r="I7" s="101"/>
      <c r="J7" s="138"/>
      <c r="K7" s="138"/>
      <c r="L7" s="139"/>
      <c r="M7" s="53" t="s">
        <v>23</v>
      </c>
      <c r="N7" s="102" t="s">
        <v>24</v>
      </c>
      <c r="O7" s="138"/>
      <c r="P7" s="139"/>
      <c r="Q7" s="11" t="s">
        <v>530</v>
      </c>
      <c r="R7" s="11"/>
    </row>
    <row r="8" spans="1:18" ht="15.75" customHeight="1">
      <c r="A8" s="34" t="s">
        <v>26</v>
      </c>
      <c r="B8" s="34" t="s">
        <v>27</v>
      </c>
      <c r="C8" s="34" t="s">
        <v>28</v>
      </c>
      <c r="D8" s="35" t="s">
        <v>29</v>
      </c>
      <c r="E8" s="94" t="s">
        <v>30</v>
      </c>
      <c r="F8" s="101"/>
      <c r="G8" s="17" t="s">
        <v>31</v>
      </c>
      <c r="H8" s="22" t="s">
        <v>32</v>
      </c>
      <c r="I8" s="23" t="s">
        <v>33</v>
      </c>
      <c r="J8" s="50"/>
      <c r="K8" s="12" t="s">
        <v>31</v>
      </c>
      <c r="L8" s="12" t="s">
        <v>26</v>
      </c>
      <c r="M8" s="52" t="s">
        <v>34</v>
      </c>
      <c r="N8" s="140" t="s">
        <v>35</v>
      </c>
      <c r="O8" s="139"/>
      <c r="P8" s="13" t="s">
        <v>36</v>
      </c>
      <c r="Q8" s="14" t="str">
        <f>"("</f>
        <v>(</v>
      </c>
      <c r="R8" s="14" t="str">
        <f>"("</f>
        <v>(</v>
      </c>
    </row>
    <row r="9" spans="1:18" ht="15.75" customHeight="1" outlineLevel="1">
      <c r="A9" s="37" t="s">
        <v>94</v>
      </c>
      <c r="B9" s="55" t="s">
        <v>50</v>
      </c>
      <c r="C9" s="36" t="e" vm="1">
        <v>#VALUE!</v>
      </c>
      <c r="D9" s="34" t="s">
        <v>95</v>
      </c>
      <c r="E9" s="94" t="s">
        <v>281</v>
      </c>
      <c r="F9" s="95"/>
      <c r="G9" s="17" t="s">
        <v>96</v>
      </c>
      <c r="H9" s="17" t="s">
        <v>94</v>
      </c>
      <c r="I9" s="23"/>
      <c r="J9" s="41"/>
      <c r="K9" s="12"/>
      <c r="L9" s="12"/>
      <c r="M9" s="49"/>
      <c r="N9" s="140" t="s">
        <v>42</v>
      </c>
      <c r="O9" s="141"/>
      <c r="P9" s="13" t="s">
        <v>43</v>
      </c>
      <c r="Q9" s="14"/>
      <c r="R9" s="14"/>
    </row>
    <row r="10" spans="1:18" ht="15.75" customHeight="1" outlineLevel="1">
      <c r="A10" s="37" t="s">
        <v>97</v>
      </c>
      <c r="B10" s="34" t="s">
        <v>38</v>
      </c>
      <c r="C10" s="36"/>
      <c r="D10" s="16" t="s">
        <v>98</v>
      </c>
      <c r="E10" s="94" t="s">
        <v>281</v>
      </c>
      <c r="F10" s="95"/>
      <c r="G10" s="17" t="s">
        <v>96</v>
      </c>
      <c r="H10" s="22" t="s">
        <v>97</v>
      </c>
      <c r="I10" s="17"/>
      <c r="J10" s="41"/>
      <c r="K10" s="12"/>
      <c r="L10" s="12"/>
      <c r="M10" s="49"/>
      <c r="N10" s="140"/>
      <c r="O10" s="141"/>
      <c r="P10" s="13"/>
      <c r="Q10" s="14"/>
      <c r="R10" s="14"/>
    </row>
    <row r="11" spans="1:18" ht="15.75" customHeight="1" outlineLevel="1">
      <c r="A11" s="37" t="s">
        <v>531</v>
      </c>
      <c r="B11" s="34" t="s">
        <v>38</v>
      </c>
      <c r="C11" s="36"/>
      <c r="D11" s="34" t="s">
        <v>532</v>
      </c>
      <c r="E11" s="94" t="s">
        <v>281</v>
      </c>
      <c r="F11" s="95"/>
      <c r="G11" s="17" t="s">
        <v>96</v>
      </c>
      <c r="H11" s="17" t="s">
        <v>294</v>
      </c>
      <c r="I11" s="23"/>
      <c r="J11" s="41"/>
      <c r="K11" s="12"/>
      <c r="L11" s="12"/>
      <c r="M11" s="49"/>
      <c r="N11" s="140"/>
      <c r="O11" s="141"/>
      <c r="P11" s="13"/>
      <c r="Q11" s="14"/>
      <c r="R11" s="14"/>
    </row>
    <row r="12" spans="1:18" ht="15.75" customHeight="1" outlineLevel="1">
      <c r="A12" s="37" t="s">
        <v>533</v>
      </c>
      <c r="B12" s="34" t="s">
        <v>38</v>
      </c>
      <c r="C12" s="36"/>
      <c r="D12" s="34" t="s">
        <v>534</v>
      </c>
      <c r="E12" s="94" t="s">
        <v>281</v>
      </c>
      <c r="F12" s="95"/>
      <c r="G12" s="17" t="s">
        <v>96</v>
      </c>
      <c r="H12" s="17" t="s">
        <v>533</v>
      </c>
      <c r="I12" s="23"/>
      <c r="J12" s="41"/>
      <c r="K12" s="12"/>
      <c r="L12" s="12"/>
      <c r="M12" s="49"/>
      <c r="N12" s="140"/>
      <c r="O12" s="141"/>
      <c r="P12" s="13"/>
      <c r="Q12" s="14"/>
      <c r="R12" s="14"/>
    </row>
    <row r="13" spans="1:18" ht="15.75" customHeight="1" outlineLevel="1">
      <c r="A13" s="37" t="s">
        <v>535</v>
      </c>
      <c r="B13" s="34" t="s">
        <v>38</v>
      </c>
      <c r="C13" s="36"/>
      <c r="D13" s="16" t="s">
        <v>536</v>
      </c>
      <c r="E13" s="94" t="s">
        <v>281</v>
      </c>
      <c r="F13" s="95"/>
      <c r="G13" s="17" t="s">
        <v>96</v>
      </c>
      <c r="H13" s="17" t="s">
        <v>535</v>
      </c>
      <c r="I13" s="23" t="s">
        <v>537</v>
      </c>
      <c r="J13" s="41"/>
      <c r="K13" s="12"/>
      <c r="L13" s="12"/>
      <c r="M13" s="49"/>
      <c r="N13" s="140"/>
      <c r="O13" s="141"/>
      <c r="P13" s="13"/>
      <c r="Q13" s="14"/>
      <c r="R13" s="14"/>
    </row>
    <row r="14" spans="1:18" ht="15.75" customHeight="1" outlineLevel="1">
      <c r="A14" s="37" t="s">
        <v>538</v>
      </c>
      <c r="B14" s="34" t="s">
        <v>38</v>
      </c>
      <c r="C14" s="36"/>
      <c r="D14" s="34" t="s">
        <v>539</v>
      </c>
      <c r="E14" s="94" t="s">
        <v>281</v>
      </c>
      <c r="F14" s="95"/>
      <c r="G14" s="17" t="s">
        <v>540</v>
      </c>
      <c r="H14" s="17" t="s">
        <v>538</v>
      </c>
      <c r="I14" s="23"/>
      <c r="J14" s="41"/>
      <c r="K14" s="12"/>
      <c r="L14" s="12"/>
      <c r="M14" s="49"/>
      <c r="N14" s="140"/>
      <c r="O14" s="141"/>
      <c r="P14" s="13"/>
      <c r="Q14" s="14"/>
      <c r="R14" s="14"/>
    </row>
    <row r="15" spans="1:18" ht="15.75" customHeight="1" outlineLevel="1">
      <c r="A15" s="37" t="s">
        <v>541</v>
      </c>
      <c r="B15" s="34" t="s">
        <v>38</v>
      </c>
      <c r="C15" s="36"/>
      <c r="D15" s="34" t="s">
        <v>542</v>
      </c>
      <c r="E15" s="94" t="s">
        <v>281</v>
      </c>
      <c r="F15" s="95"/>
      <c r="G15" s="17" t="s">
        <v>540</v>
      </c>
      <c r="H15" s="22" t="s">
        <v>541</v>
      </c>
      <c r="I15" s="23"/>
      <c r="J15" s="41"/>
      <c r="K15" s="12"/>
      <c r="L15" s="12"/>
      <c r="M15" s="49"/>
      <c r="N15" s="140"/>
      <c r="O15" s="141"/>
      <c r="P15" s="13"/>
      <c r="Q15" s="14"/>
      <c r="R15" s="14"/>
    </row>
    <row r="16" spans="1:18" ht="15.75" customHeight="1" outlineLevel="1">
      <c r="A16" s="37" t="s">
        <v>543</v>
      </c>
      <c r="B16" s="34" t="s">
        <v>72</v>
      </c>
      <c r="C16" s="36"/>
      <c r="D16" s="34" t="s">
        <v>544</v>
      </c>
      <c r="E16" s="94" t="s">
        <v>281</v>
      </c>
      <c r="F16" s="95"/>
      <c r="G16" s="17" t="s">
        <v>540</v>
      </c>
      <c r="H16" s="17" t="s">
        <v>543</v>
      </c>
      <c r="I16" s="23"/>
      <c r="J16" s="41"/>
      <c r="K16" s="12"/>
      <c r="L16" s="12"/>
      <c r="M16" s="49"/>
      <c r="N16" s="140"/>
      <c r="O16" s="141"/>
      <c r="P16" s="13"/>
      <c r="Q16" s="14"/>
      <c r="R16" s="14"/>
    </row>
    <row r="17" spans="1:18" ht="15.75" customHeight="1" outlineLevel="1">
      <c r="A17" s="37" t="s">
        <v>545</v>
      </c>
      <c r="B17" s="34" t="s">
        <v>72</v>
      </c>
      <c r="C17" s="36"/>
      <c r="D17" s="34" t="s">
        <v>546</v>
      </c>
      <c r="E17" s="94" t="s">
        <v>281</v>
      </c>
      <c r="F17" s="95"/>
      <c r="G17" s="17" t="s">
        <v>540</v>
      </c>
      <c r="H17" s="17" t="s">
        <v>545</v>
      </c>
      <c r="I17" s="23"/>
      <c r="J17" s="41"/>
      <c r="K17" s="12"/>
      <c r="L17" s="12"/>
      <c r="M17" s="49"/>
      <c r="N17" s="42"/>
      <c r="O17" s="43"/>
      <c r="P17" s="13"/>
      <c r="Q17" s="14"/>
      <c r="R17" s="14"/>
    </row>
    <row r="18" spans="1:18" ht="15.75" customHeight="1" outlineLevel="1">
      <c r="A18" s="37" t="s">
        <v>547</v>
      </c>
      <c r="B18" s="34" t="s">
        <v>72</v>
      </c>
      <c r="C18" s="36"/>
      <c r="D18" s="34" t="s">
        <v>548</v>
      </c>
      <c r="E18" s="94" t="s">
        <v>281</v>
      </c>
      <c r="F18" s="95"/>
      <c r="G18" s="17" t="s">
        <v>540</v>
      </c>
      <c r="H18" s="17" t="s">
        <v>547</v>
      </c>
      <c r="I18" s="23"/>
      <c r="J18" s="41"/>
      <c r="K18" s="12"/>
      <c r="L18" s="12"/>
      <c r="M18" s="49"/>
      <c r="N18" s="42"/>
      <c r="O18" s="43"/>
      <c r="P18" s="13"/>
      <c r="Q18" s="14"/>
      <c r="R18" s="14"/>
    </row>
    <row r="19" spans="1:18" ht="15.75" customHeight="1" outlineLevel="1">
      <c r="A19" s="37" t="s">
        <v>549</v>
      </c>
      <c r="B19" s="34" t="s">
        <v>72</v>
      </c>
      <c r="C19" s="36"/>
      <c r="D19" s="34" t="s">
        <v>550</v>
      </c>
      <c r="E19" s="94" t="s">
        <v>281</v>
      </c>
      <c r="F19" s="95"/>
      <c r="G19" s="17" t="s">
        <v>540</v>
      </c>
      <c r="H19" s="17" t="s">
        <v>549</v>
      </c>
      <c r="I19" s="23"/>
      <c r="J19" s="41"/>
      <c r="K19" s="12"/>
      <c r="L19" s="12"/>
      <c r="M19" s="49"/>
      <c r="N19" s="42"/>
      <c r="O19" s="43"/>
      <c r="P19" s="13"/>
      <c r="Q19" s="14"/>
      <c r="R19" s="14"/>
    </row>
    <row r="20" spans="1:18" ht="15.75" customHeight="1" outlineLevel="1">
      <c r="A20" s="37" t="s">
        <v>551</v>
      </c>
      <c r="B20" s="34" t="s">
        <v>72</v>
      </c>
      <c r="C20" s="36"/>
      <c r="D20" s="34" t="s">
        <v>552</v>
      </c>
      <c r="E20" s="94" t="s">
        <v>281</v>
      </c>
      <c r="F20" s="95"/>
      <c r="G20" s="17" t="s">
        <v>540</v>
      </c>
      <c r="H20" s="17" t="s">
        <v>551</v>
      </c>
      <c r="I20" s="23"/>
      <c r="J20" s="41"/>
      <c r="K20" s="12"/>
      <c r="L20" s="12"/>
      <c r="M20" s="49"/>
      <c r="N20" s="42"/>
      <c r="O20" s="43"/>
      <c r="P20" s="13"/>
      <c r="Q20" s="14"/>
      <c r="R20" s="14"/>
    </row>
    <row r="21" spans="1:18" ht="15.75" customHeight="1" outlineLevel="1">
      <c r="A21" s="37" t="s">
        <v>553</v>
      </c>
      <c r="B21" s="34" t="s">
        <v>72</v>
      </c>
      <c r="C21" s="36"/>
      <c r="D21" s="34" t="s">
        <v>554</v>
      </c>
      <c r="E21" s="94" t="s">
        <v>281</v>
      </c>
      <c r="F21" s="95"/>
      <c r="G21" s="17" t="s">
        <v>540</v>
      </c>
      <c r="H21" s="17" t="s">
        <v>553</v>
      </c>
      <c r="I21" s="23"/>
      <c r="J21" s="41"/>
      <c r="K21" s="12"/>
      <c r="L21" s="12"/>
      <c r="M21" s="49"/>
      <c r="N21" s="42"/>
      <c r="O21" s="43"/>
      <c r="P21" s="13"/>
      <c r="Q21" s="14"/>
      <c r="R21" s="14"/>
    </row>
    <row r="22" spans="1:18" ht="15.75" customHeight="1" outlineLevel="1">
      <c r="A22" s="37" t="s">
        <v>555</v>
      </c>
      <c r="B22" s="34" t="s">
        <v>72</v>
      </c>
      <c r="C22" s="36"/>
      <c r="D22" s="34" t="s">
        <v>556</v>
      </c>
      <c r="E22" s="94" t="s">
        <v>281</v>
      </c>
      <c r="F22" s="95"/>
      <c r="G22" s="17" t="s">
        <v>540</v>
      </c>
      <c r="H22" s="17" t="s">
        <v>555</v>
      </c>
      <c r="I22" s="23"/>
      <c r="J22" s="41"/>
      <c r="K22" s="12"/>
      <c r="L22" s="12"/>
      <c r="M22" s="49"/>
      <c r="N22" s="42"/>
      <c r="O22" s="43"/>
      <c r="P22" s="13"/>
      <c r="Q22" s="14"/>
      <c r="R22" s="14"/>
    </row>
    <row r="23" spans="1:18" ht="15.75" customHeight="1" outlineLevel="1">
      <c r="A23" s="37" t="s">
        <v>557</v>
      </c>
      <c r="B23" s="34" t="s">
        <v>72</v>
      </c>
      <c r="C23" s="36"/>
      <c r="D23" s="34" t="s">
        <v>558</v>
      </c>
      <c r="E23" s="94" t="s">
        <v>281</v>
      </c>
      <c r="F23" s="95"/>
      <c r="G23" s="17" t="s">
        <v>540</v>
      </c>
      <c r="H23" s="17" t="s">
        <v>557</v>
      </c>
      <c r="I23" s="23"/>
      <c r="J23" s="41"/>
      <c r="K23" s="12"/>
      <c r="L23" s="12"/>
      <c r="M23" s="49"/>
      <c r="N23" s="42"/>
      <c r="O23" s="43"/>
      <c r="P23" s="13"/>
      <c r="Q23" s="14"/>
      <c r="R23" s="14"/>
    </row>
    <row r="24" spans="1:18" ht="15.75" customHeight="1" outlineLevel="1">
      <c r="A24" s="37" t="s">
        <v>559</v>
      </c>
      <c r="B24" s="34" t="s">
        <v>72</v>
      </c>
      <c r="C24" s="36"/>
      <c r="D24" s="34" t="s">
        <v>560</v>
      </c>
      <c r="E24" s="94" t="s">
        <v>281</v>
      </c>
      <c r="F24" s="95"/>
      <c r="G24" s="17" t="s">
        <v>540</v>
      </c>
      <c r="H24" s="17" t="s">
        <v>559</v>
      </c>
      <c r="I24" s="23"/>
      <c r="J24" s="41"/>
      <c r="K24" s="12"/>
      <c r="L24" s="12"/>
      <c r="M24" s="49"/>
      <c r="N24" s="42"/>
      <c r="O24" s="43"/>
      <c r="P24" s="13"/>
      <c r="Q24" s="14"/>
      <c r="R24" s="14"/>
    </row>
    <row r="25" spans="1:18" ht="15.75" customHeight="1" outlineLevel="1">
      <c r="A25" s="37" t="s">
        <v>561</v>
      </c>
      <c r="B25" s="34" t="s">
        <v>72</v>
      </c>
      <c r="C25" s="36"/>
      <c r="D25" s="34" t="s">
        <v>562</v>
      </c>
      <c r="E25" s="94" t="s">
        <v>281</v>
      </c>
      <c r="F25" s="95"/>
      <c r="G25" s="17" t="s">
        <v>540</v>
      </c>
      <c r="H25" s="17" t="s">
        <v>561</v>
      </c>
      <c r="I25" s="23"/>
      <c r="J25" s="41"/>
      <c r="K25" s="12"/>
      <c r="L25" s="12"/>
      <c r="M25" s="49"/>
      <c r="N25" s="42"/>
      <c r="O25" s="43"/>
      <c r="P25" s="13"/>
      <c r="Q25" s="14"/>
      <c r="R25" s="14"/>
    </row>
    <row r="26" spans="1:18" ht="15.75" customHeight="1" outlineLevel="1">
      <c r="A26" s="37" t="s">
        <v>563</v>
      </c>
      <c r="B26" s="34" t="s">
        <v>72</v>
      </c>
      <c r="C26" s="36"/>
      <c r="D26" s="34" t="s">
        <v>564</v>
      </c>
      <c r="E26" s="94" t="s">
        <v>281</v>
      </c>
      <c r="F26" s="95"/>
      <c r="G26" s="17" t="s">
        <v>540</v>
      </c>
      <c r="H26" s="17" t="s">
        <v>563</v>
      </c>
      <c r="I26" s="23"/>
      <c r="J26" s="41"/>
      <c r="K26" s="12"/>
      <c r="L26" s="12"/>
      <c r="M26" s="49"/>
      <c r="N26" s="42"/>
      <c r="O26" s="43"/>
      <c r="P26" s="13"/>
      <c r="Q26" s="14"/>
      <c r="R26" s="14"/>
    </row>
    <row r="27" spans="1:18" ht="15.75" customHeight="1" outlineLevel="1">
      <c r="A27" s="37" t="s">
        <v>565</v>
      </c>
      <c r="B27" s="34" t="s">
        <v>72</v>
      </c>
      <c r="C27" s="36"/>
      <c r="D27" s="16" t="s">
        <v>566</v>
      </c>
      <c r="E27" s="94" t="s">
        <v>281</v>
      </c>
      <c r="F27" s="95"/>
      <c r="G27" s="17" t="s">
        <v>540</v>
      </c>
      <c r="H27" s="22" t="s">
        <v>565</v>
      </c>
      <c r="I27" s="48"/>
      <c r="J27" s="41"/>
      <c r="K27" s="12"/>
      <c r="L27" s="12"/>
      <c r="M27" s="45"/>
      <c r="N27" s="42"/>
      <c r="O27" s="43"/>
      <c r="P27" s="13"/>
      <c r="Q27" s="14"/>
      <c r="R27" s="14"/>
    </row>
    <row r="28" spans="1:18" ht="15.75" customHeight="1" outlineLevel="1">
      <c r="A28" s="37"/>
      <c r="B28" s="34"/>
      <c r="C28" s="36"/>
      <c r="D28" s="34"/>
      <c r="E28" s="94"/>
      <c r="F28" s="95"/>
      <c r="G28" s="17"/>
      <c r="H28" s="22"/>
      <c r="I28" s="23"/>
      <c r="J28" s="41"/>
      <c r="K28" s="12"/>
      <c r="L28" s="12"/>
      <c r="M28" s="45"/>
      <c r="N28" s="140"/>
      <c r="O28" s="141"/>
      <c r="P28" s="13"/>
      <c r="Q28" s="14"/>
      <c r="R28" s="14"/>
    </row>
    <row r="29" spans="1:18" ht="15.75" customHeight="1" outlineLevel="1">
      <c r="A29" s="38" t="s">
        <v>109</v>
      </c>
      <c r="B29" s="39"/>
      <c r="C29" s="40"/>
      <c r="D29" s="9"/>
      <c r="E29" s="94"/>
      <c r="F29" s="95"/>
      <c r="G29" s="17"/>
      <c r="H29" s="25"/>
      <c r="I29" s="24"/>
      <c r="J29" s="51"/>
      <c r="K29" s="3"/>
      <c r="L29" s="3"/>
      <c r="M29" s="49"/>
      <c r="N29" s="142"/>
      <c r="O29" s="143"/>
      <c r="P29" s="4"/>
      <c r="Q29" s="14"/>
      <c r="R29" s="14"/>
    </row>
    <row r="30" spans="1:18" ht="15.75" customHeight="1">
      <c r="E30" s="107"/>
      <c r="F30" s="108"/>
      <c r="G30" s="105"/>
      <c r="H30" s="106"/>
      <c r="I30" s="26"/>
      <c r="N30" s="124"/>
      <c r="O30" s="124"/>
      <c r="Q30" s="5" t="s">
        <v>486</v>
      </c>
      <c r="R30" s="5" t="s">
        <v>486</v>
      </c>
    </row>
    <row r="31" spans="1:18" ht="15.75" customHeight="1"/>
    <row r="32" spans="1:1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</sheetData>
  <autoFilter ref="A8:P29" xr:uid="{00000000-0009-0000-0000-000000000000}"/>
  <mergeCells count="57">
    <mergeCell ref="E27:F27"/>
    <mergeCell ref="N7:P7"/>
    <mergeCell ref="N1:P1"/>
    <mergeCell ref="R2:R5"/>
    <mergeCell ref="C3:C5"/>
    <mergeCell ref="D3:D5"/>
    <mergeCell ref="F3:G3"/>
    <mergeCell ref="F4:G4"/>
    <mergeCell ref="F5:G5"/>
    <mergeCell ref="J2:L6"/>
    <mergeCell ref="M2:M6"/>
    <mergeCell ref="N2:N6"/>
    <mergeCell ref="O2:P6"/>
    <mergeCell ref="E2:E6"/>
    <mergeCell ref="F2:G2"/>
    <mergeCell ref="F6:I6"/>
    <mergeCell ref="B7:D7"/>
    <mergeCell ref="E7:I7"/>
    <mergeCell ref="J7:L7"/>
    <mergeCell ref="B1:D1"/>
    <mergeCell ref="E1:I1"/>
    <mergeCell ref="E12:F12"/>
    <mergeCell ref="N12:O12"/>
    <mergeCell ref="E11:F11"/>
    <mergeCell ref="N11:O11"/>
    <mergeCell ref="E8:F8"/>
    <mergeCell ref="N8:O8"/>
    <mergeCell ref="E10:F10"/>
    <mergeCell ref="N10:O10"/>
    <mergeCell ref="E9:F9"/>
    <mergeCell ref="N9:O9"/>
    <mergeCell ref="N15:O15"/>
    <mergeCell ref="E14:F14"/>
    <mergeCell ref="N14:O14"/>
    <mergeCell ref="E13:F13"/>
    <mergeCell ref="N13:O13"/>
    <mergeCell ref="E23:F23"/>
    <mergeCell ref="E24:F24"/>
    <mergeCell ref="E25:F25"/>
    <mergeCell ref="E26:F26"/>
    <mergeCell ref="E15:F15"/>
    <mergeCell ref="N30:O30"/>
    <mergeCell ref="E30:F30"/>
    <mergeCell ref="G30:H30"/>
    <mergeCell ref="Q2:Q5"/>
    <mergeCell ref="E29:F29"/>
    <mergeCell ref="N29:O29"/>
    <mergeCell ref="E28:F28"/>
    <mergeCell ref="N28:O28"/>
    <mergeCell ref="E16:F16"/>
    <mergeCell ref="N16:O16"/>
    <mergeCell ref="E17:F17"/>
    <mergeCell ref="E18:F18"/>
    <mergeCell ref="E19:F19"/>
    <mergeCell ref="E20:F20"/>
    <mergeCell ref="E21:F21"/>
    <mergeCell ref="E22:F22"/>
  </mergeCells>
  <phoneticPr fontId="13" type="noConversion"/>
  <conditionalFormatting sqref="A9:A12">
    <cfRule type="expression" dxfId="16" priority="6">
      <formula>M9 = "On Hold"</formula>
    </cfRule>
  </conditionalFormatting>
  <conditionalFormatting sqref="A13">
    <cfRule type="expression" dxfId="15" priority="2">
      <formula>J13 = "On Hold"</formula>
    </cfRule>
  </conditionalFormatting>
  <conditionalFormatting sqref="A14:A29">
    <cfRule type="expression" dxfId="14" priority="1">
      <formula>M14 = "On Hold"</formula>
    </cfRule>
  </conditionalFormatting>
  <conditionalFormatting sqref="B2:B5 J9:P29">
    <cfRule type="cellIs" dxfId="13" priority="4" operator="equal">
      <formula>"Done"</formula>
    </cfRule>
    <cfRule type="cellIs" dxfId="12" priority="5" operator="equal">
      <formula>"On Hold"</formula>
    </cfRule>
    <cfRule type="cellIs" dxfId="11" priority="7" operator="equal">
      <formula>"Ready for Review"</formula>
    </cfRule>
    <cfRule type="cellIs" dxfId="10" priority="8" operator="equal">
      <formula>"In Review"</formula>
    </cfRule>
  </conditionalFormatting>
  <dataValidations count="7">
    <dataValidation type="list" allowBlank="1" sqref="B3 M9:M29" xr:uid="{B28169F5-2289-46F9-8B14-4FEF6FEAE375}">
      <formula1>Statuses</formula1>
    </dataValidation>
    <dataValidation type="list" allowBlank="1" sqref="B4:B5" xr:uid="{90D77C34-98E4-41B3-9C37-1D216F64E8A4}">
      <formula1>ETL_Statuses</formula1>
    </dataValidation>
    <dataValidation type="list" allowBlank="1" showErrorMessage="1" sqref="B2" xr:uid="{300A6549-9EB9-4F7D-BD46-6B92531AD26C}">
      <formula1>STT_Statuses</formula1>
    </dataValidation>
    <dataValidation type="list" allowBlank="1" sqref="B10:B29" xr:uid="{441FF34A-B4F9-4C54-91F1-6F9A8F7B532D}">
      <formula1>Data_Types</formula1>
    </dataValidation>
    <dataValidation type="list" allowBlank="1" sqref="E9:E29" xr:uid="{94A58112-A5F5-477B-A374-B541B8D6A3A0}">
      <formula1>Sources</formula1>
    </dataValidation>
    <dataValidation type="list" allowBlank="1" sqref="P9:P29" xr:uid="{228810B6-9675-414B-BA8D-56352CFB8647}">
      <formula1>Versions</formula1>
    </dataValidation>
    <dataValidation type="list" allowBlank="1" sqref="N9:N29" xr:uid="{4A1847B8-8F60-4506-A7FE-F088EDBA17D2}">
      <formula1>Categories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077A-F103-4ACF-A5B8-F3B98B2D2772}">
  <sheetPr>
    <tabColor theme="6" tint="0.59999389629810485"/>
    <outlinePr summaryBelow="0" summaryRight="0"/>
  </sheetPr>
  <dimension ref="A1:R149"/>
  <sheetViews>
    <sheetView zoomScale="80" zoomScaleNormal="80" workbookViewId="0">
      <pane xSplit="1" ySplit="8" topLeftCell="B9" activePane="bottomRight" state="frozen"/>
      <selection pane="bottomRight" activeCell="C16" sqref="C16"/>
      <selection pane="bottomLeft" activeCell="A9" sqref="A9"/>
      <selection pane="topRight" activeCell="B1" sqref="B1"/>
    </sheetView>
  </sheetViews>
  <sheetFormatPr defaultColWidth="12.7109375" defaultRowHeight="15" customHeight="1" outlineLevelRow="1" outlineLevelCol="1"/>
  <cols>
    <col min="1" max="1" width="35.7109375" style="18" customWidth="1"/>
    <col min="2" max="2" width="16.28515625" style="18" customWidth="1" outlineLevel="1"/>
    <col min="3" max="3" width="7" style="18" customWidth="1" outlineLevel="1"/>
    <col min="4" max="4" width="28" style="18" customWidth="1" outlineLevel="1"/>
    <col min="5" max="5" width="2.28515625" style="21" customWidth="1"/>
    <col min="6" max="6" width="12.7109375" style="44" customWidth="1" outlineLevel="1"/>
    <col min="7" max="7" width="18.140625" style="27" customWidth="1" outlineLevel="1"/>
    <col min="8" max="8" width="30.7109375" style="18" customWidth="1" outlineLevel="1"/>
    <col min="9" max="9" width="33.140625" style="18" customWidth="1" outlineLevel="1"/>
    <col min="10" max="10" width="5.85546875" hidden="1" customWidth="1" outlineLevel="1"/>
    <col min="11" max="11" width="5" hidden="1" customWidth="1" outlineLevel="1"/>
    <col min="12" max="12" width="11.7109375" hidden="1" customWidth="1" outlineLevel="1"/>
    <col min="13" max="13" width="2.28515625" customWidth="1"/>
    <col min="14" max="14" width="2.28515625" customWidth="1" collapsed="1"/>
    <col min="15" max="15" width="10.7109375" hidden="1" customWidth="1" outlineLevel="1"/>
    <col min="16" max="16" width="11" hidden="1" customWidth="1" outlineLevel="1"/>
    <col min="17" max="18" width="47.7109375" customWidth="1"/>
  </cols>
  <sheetData>
    <row r="1" spans="1:18" ht="5.25" customHeight="1" outlineLevel="1">
      <c r="A1" s="28"/>
      <c r="B1" s="109"/>
      <c r="C1" s="106"/>
      <c r="D1" s="106"/>
      <c r="E1" s="110"/>
      <c r="F1" s="106"/>
      <c r="G1" s="106"/>
      <c r="H1" s="106"/>
      <c r="I1" s="106"/>
      <c r="J1" s="2"/>
      <c r="K1" s="2"/>
      <c r="L1" s="2"/>
      <c r="M1" s="2"/>
      <c r="N1" s="111"/>
      <c r="O1" s="124"/>
      <c r="P1" s="124"/>
    </row>
    <row r="2" spans="1:18" ht="15.75" customHeight="1" outlineLevel="1">
      <c r="A2" s="29" t="s">
        <v>0</v>
      </c>
      <c r="B2" s="29" t="s">
        <v>1</v>
      </c>
      <c r="C2" s="30"/>
      <c r="D2" s="31" t="s">
        <v>2</v>
      </c>
      <c r="E2" s="112" t="s">
        <v>3</v>
      </c>
      <c r="F2" s="115" t="s">
        <v>4</v>
      </c>
      <c r="G2" s="116"/>
      <c r="H2" s="19" t="s">
        <v>5</v>
      </c>
      <c r="I2" s="20"/>
      <c r="J2" s="117"/>
      <c r="K2" s="125"/>
      <c r="L2" s="126"/>
      <c r="M2" s="118" t="s">
        <v>6</v>
      </c>
      <c r="N2" s="119" t="s">
        <v>7</v>
      </c>
      <c r="O2" s="120"/>
      <c r="P2" s="126"/>
      <c r="Q2" s="127" t="s">
        <v>8</v>
      </c>
      <c r="R2" s="128" t="s">
        <v>9</v>
      </c>
    </row>
    <row r="3" spans="1:18" ht="15.75" customHeight="1" outlineLevel="1">
      <c r="A3" s="29" t="s">
        <v>10</v>
      </c>
      <c r="B3" s="29"/>
      <c r="C3" s="108"/>
      <c r="D3" s="121" t="s">
        <v>567</v>
      </c>
      <c r="E3" s="113"/>
      <c r="F3" s="103" t="s">
        <v>568</v>
      </c>
      <c r="G3" s="104"/>
      <c r="H3" s="19" t="s">
        <v>13</v>
      </c>
      <c r="I3" s="20"/>
      <c r="J3" s="129"/>
      <c r="K3" s="128"/>
      <c r="L3" s="130"/>
      <c r="M3" s="131"/>
      <c r="N3" s="131"/>
      <c r="O3" s="129"/>
      <c r="P3" s="130"/>
      <c r="Q3" s="127"/>
      <c r="R3" s="128"/>
    </row>
    <row r="4" spans="1:18" ht="15.75" customHeight="1" outlineLevel="1">
      <c r="A4" s="29" t="s">
        <v>14</v>
      </c>
      <c r="B4" s="29"/>
      <c r="C4" s="108"/>
      <c r="D4" s="113"/>
      <c r="E4" s="113"/>
      <c r="F4" s="115" t="s">
        <v>15</v>
      </c>
      <c r="G4" s="116"/>
      <c r="H4" s="19" t="s">
        <v>16</v>
      </c>
      <c r="I4" s="20"/>
      <c r="J4" s="129"/>
      <c r="K4" s="128"/>
      <c r="L4" s="130"/>
      <c r="M4" s="131"/>
      <c r="N4" s="131"/>
      <c r="O4" s="129"/>
      <c r="P4" s="130"/>
      <c r="Q4" s="127"/>
      <c r="R4" s="128"/>
    </row>
    <row r="5" spans="1:18" ht="15.75" customHeight="1" outlineLevel="1">
      <c r="A5" s="29" t="s">
        <v>17</v>
      </c>
      <c r="B5" s="29"/>
      <c r="C5" s="108"/>
      <c r="D5" s="114"/>
      <c r="E5" s="113"/>
      <c r="F5" s="103" t="s">
        <v>18</v>
      </c>
      <c r="G5" s="104"/>
      <c r="H5" s="19" t="s">
        <v>19</v>
      </c>
      <c r="I5" s="20"/>
      <c r="J5" s="129"/>
      <c r="K5" s="128"/>
      <c r="L5" s="130"/>
      <c r="M5" s="131"/>
      <c r="N5" s="131"/>
      <c r="O5" s="129"/>
      <c r="P5" s="130"/>
      <c r="Q5" s="132"/>
      <c r="R5" s="133"/>
    </row>
    <row r="6" spans="1:18" ht="15.75" customHeight="1" outlineLevel="1">
      <c r="A6" s="21"/>
      <c r="B6" s="21"/>
      <c r="C6" s="32" t="e" vm="1">
        <v>#VALUE!</v>
      </c>
      <c r="D6" s="21"/>
      <c r="E6" s="114"/>
      <c r="F6" s="108"/>
      <c r="G6" s="108"/>
      <c r="H6" s="108"/>
      <c r="I6" s="108"/>
      <c r="J6" s="134"/>
      <c r="K6" s="135"/>
      <c r="L6" s="136"/>
      <c r="M6" s="137"/>
      <c r="N6" s="137"/>
      <c r="O6" s="134"/>
      <c r="P6" s="136"/>
      <c r="Q6" s="10" t="s">
        <v>20</v>
      </c>
      <c r="R6" s="10" t="s">
        <v>20</v>
      </c>
    </row>
    <row r="7" spans="1:18" ht="15.75" customHeight="1">
      <c r="A7" s="33" t="s">
        <v>21</v>
      </c>
      <c r="B7" s="98" t="s">
        <v>21</v>
      </c>
      <c r="C7" s="99"/>
      <c r="D7" s="99"/>
      <c r="E7" s="100" t="s">
        <v>22</v>
      </c>
      <c r="F7" s="99"/>
      <c r="G7" s="99"/>
      <c r="H7" s="99"/>
      <c r="I7" s="101"/>
      <c r="J7" s="138"/>
      <c r="K7" s="138"/>
      <c r="L7" s="139"/>
      <c r="M7" s="53" t="s">
        <v>23</v>
      </c>
      <c r="N7" s="102" t="s">
        <v>24</v>
      </c>
      <c r="O7" s="138"/>
      <c r="P7" s="139"/>
      <c r="Q7" s="11"/>
      <c r="R7" s="11"/>
    </row>
    <row r="8" spans="1:18" ht="15.75" customHeight="1">
      <c r="A8" s="34" t="s">
        <v>26</v>
      </c>
      <c r="B8" s="34" t="s">
        <v>27</v>
      </c>
      <c r="C8" s="34" t="s">
        <v>28</v>
      </c>
      <c r="D8" s="35" t="s">
        <v>29</v>
      </c>
      <c r="E8" s="94" t="s">
        <v>30</v>
      </c>
      <c r="F8" s="101"/>
      <c r="G8" s="17" t="s">
        <v>31</v>
      </c>
      <c r="H8" s="22" t="s">
        <v>32</v>
      </c>
      <c r="I8" s="23" t="s">
        <v>33</v>
      </c>
      <c r="J8" s="50"/>
      <c r="K8" s="12" t="s">
        <v>31</v>
      </c>
      <c r="L8" s="12" t="s">
        <v>26</v>
      </c>
      <c r="M8" s="52" t="s">
        <v>34</v>
      </c>
      <c r="N8" s="140" t="s">
        <v>35</v>
      </c>
      <c r="O8" s="139"/>
      <c r="P8" s="13" t="s">
        <v>36</v>
      </c>
      <c r="Q8" s="14" t="str">
        <f>"("</f>
        <v>(</v>
      </c>
      <c r="R8" s="14" t="str">
        <f>"("</f>
        <v>(</v>
      </c>
    </row>
    <row r="9" spans="1:18" ht="15.75" customHeight="1" outlineLevel="1">
      <c r="A9" s="37" t="s">
        <v>84</v>
      </c>
      <c r="B9" s="55" t="s">
        <v>50</v>
      </c>
      <c r="C9" s="36" t="e" vm="1">
        <v>#VALUE!</v>
      </c>
      <c r="D9" s="34" t="s">
        <v>85</v>
      </c>
      <c r="E9" s="122" t="s">
        <v>281</v>
      </c>
      <c r="F9" s="123"/>
      <c r="G9" s="17" t="s">
        <v>86</v>
      </c>
      <c r="H9" s="17" t="s">
        <v>84</v>
      </c>
      <c r="I9" s="23"/>
      <c r="J9" s="41"/>
      <c r="K9" s="12"/>
      <c r="L9" s="12"/>
      <c r="M9" s="49"/>
      <c r="N9" s="140" t="s">
        <v>42</v>
      </c>
      <c r="O9" s="141"/>
      <c r="P9" s="13" t="s">
        <v>43</v>
      </c>
      <c r="Q9" s="14"/>
      <c r="R9" s="14"/>
    </row>
    <row r="10" spans="1:18" ht="15.75" customHeight="1" outlineLevel="1">
      <c r="A10" s="37" t="s">
        <v>569</v>
      </c>
      <c r="B10" s="34" t="s">
        <v>38</v>
      </c>
      <c r="C10" s="36"/>
      <c r="D10" s="34" t="s">
        <v>570</v>
      </c>
      <c r="E10" s="122" t="s">
        <v>281</v>
      </c>
      <c r="F10" s="123"/>
      <c r="G10" s="17" t="s">
        <v>86</v>
      </c>
      <c r="H10" s="17" t="s">
        <v>569</v>
      </c>
      <c r="I10" s="23"/>
      <c r="J10" s="41"/>
      <c r="K10" s="12"/>
      <c r="L10" s="12"/>
      <c r="M10" s="49"/>
      <c r="N10" s="42"/>
      <c r="O10" s="43"/>
      <c r="P10" s="13"/>
      <c r="Q10" s="14"/>
      <c r="R10" s="14"/>
    </row>
    <row r="11" spans="1:18" ht="15.75" customHeight="1" outlineLevel="1">
      <c r="A11" s="37" t="s">
        <v>87</v>
      </c>
      <c r="B11" s="34" t="s">
        <v>38</v>
      </c>
      <c r="C11" s="36"/>
      <c r="D11" s="16" t="s">
        <v>88</v>
      </c>
      <c r="E11" s="122" t="s">
        <v>281</v>
      </c>
      <c r="F11" s="123"/>
      <c r="G11" s="17" t="s">
        <v>86</v>
      </c>
      <c r="H11" s="22" t="s">
        <v>87</v>
      </c>
      <c r="I11" s="17"/>
      <c r="J11" s="41"/>
      <c r="K11" s="12"/>
      <c r="L11" s="12"/>
      <c r="M11" s="49"/>
      <c r="N11" s="140"/>
      <c r="O11" s="141"/>
      <c r="P11" s="13"/>
      <c r="Q11" s="14"/>
      <c r="R11" s="14"/>
    </row>
    <row r="12" spans="1:18" ht="15.75" customHeight="1" outlineLevel="1">
      <c r="A12" s="37" t="s">
        <v>571</v>
      </c>
      <c r="B12" s="34" t="s">
        <v>38</v>
      </c>
      <c r="C12" s="36"/>
      <c r="D12" s="34" t="s">
        <v>572</v>
      </c>
      <c r="E12" s="94" t="s">
        <v>135</v>
      </c>
      <c r="F12" s="95"/>
      <c r="G12" s="17" t="s">
        <v>86</v>
      </c>
      <c r="H12" s="17" t="s">
        <v>571</v>
      </c>
      <c r="I12" s="23" t="s">
        <v>573</v>
      </c>
      <c r="J12" s="41"/>
      <c r="K12" s="12"/>
      <c r="L12" s="12"/>
      <c r="M12" s="49"/>
      <c r="N12" s="140"/>
      <c r="O12" s="141"/>
      <c r="P12" s="13"/>
      <c r="Q12" s="14"/>
      <c r="R12" s="14"/>
    </row>
    <row r="13" spans="1:18" ht="15.75" customHeight="1" outlineLevel="1">
      <c r="A13" s="37" t="s">
        <v>574</v>
      </c>
      <c r="B13" s="34" t="s">
        <v>38</v>
      </c>
      <c r="C13" s="36"/>
      <c r="D13" s="34" t="s">
        <v>575</v>
      </c>
      <c r="E13" s="94" t="s">
        <v>135</v>
      </c>
      <c r="F13" s="95"/>
      <c r="G13" s="17" t="s">
        <v>86</v>
      </c>
      <c r="H13" s="17"/>
      <c r="I13" s="23" t="s">
        <v>576</v>
      </c>
      <c r="J13" s="41"/>
      <c r="K13" s="12"/>
      <c r="L13" s="12"/>
      <c r="M13" s="49"/>
      <c r="N13" s="140"/>
      <c r="O13" s="141"/>
      <c r="P13" s="13"/>
      <c r="Q13" s="14"/>
      <c r="R13" s="14"/>
    </row>
    <row r="14" spans="1:18" ht="15.75" customHeight="1" outlineLevel="1">
      <c r="A14" s="37" t="s">
        <v>577</v>
      </c>
      <c r="B14" s="55" t="s">
        <v>50</v>
      </c>
      <c r="C14" s="36"/>
      <c r="D14" s="16" t="s">
        <v>578</v>
      </c>
      <c r="E14" s="122" t="s">
        <v>281</v>
      </c>
      <c r="F14" s="123"/>
      <c r="G14" s="17" t="s">
        <v>86</v>
      </c>
      <c r="H14" s="17" t="s">
        <v>577</v>
      </c>
      <c r="I14" s="23"/>
      <c r="J14" s="41"/>
      <c r="K14" s="12"/>
      <c r="L14" s="12"/>
      <c r="M14" s="49"/>
      <c r="N14" s="140"/>
      <c r="O14" s="141"/>
      <c r="P14" s="13"/>
      <c r="Q14" s="14"/>
      <c r="R14" s="14"/>
    </row>
    <row r="15" spans="1:18" ht="15.75" customHeight="1" outlineLevel="1">
      <c r="A15" s="37" t="s">
        <v>579</v>
      </c>
      <c r="B15" s="34" t="s">
        <v>38</v>
      </c>
      <c r="C15" s="36"/>
      <c r="D15" s="16" t="s">
        <v>580</v>
      </c>
      <c r="E15" s="122" t="s">
        <v>281</v>
      </c>
      <c r="F15" s="123"/>
      <c r="G15" s="17" t="s">
        <v>86</v>
      </c>
      <c r="H15" s="17" t="s">
        <v>579</v>
      </c>
      <c r="I15" s="23"/>
      <c r="J15" s="41"/>
      <c r="K15" s="12"/>
      <c r="L15" s="12"/>
      <c r="M15" s="49"/>
      <c r="N15" s="140"/>
      <c r="O15" s="141"/>
      <c r="P15" s="13"/>
      <c r="Q15" s="14"/>
      <c r="R15" s="14"/>
    </row>
    <row r="16" spans="1:18" ht="15.75" customHeight="1" outlineLevel="1">
      <c r="A16" s="37" t="s">
        <v>581</v>
      </c>
      <c r="B16" s="55" t="s">
        <v>50</v>
      </c>
      <c r="C16" s="36"/>
      <c r="D16" s="16" t="s">
        <v>582</v>
      </c>
      <c r="E16" s="122" t="s">
        <v>281</v>
      </c>
      <c r="F16" s="123"/>
      <c r="G16" s="17" t="s">
        <v>86</v>
      </c>
      <c r="H16" s="22" t="s">
        <v>581</v>
      </c>
      <c r="I16" s="23"/>
      <c r="J16" s="41"/>
      <c r="K16" s="12"/>
      <c r="L16" s="12"/>
      <c r="M16" s="49"/>
      <c r="N16" s="140"/>
      <c r="O16" s="141"/>
      <c r="P16" s="13"/>
      <c r="Q16" s="14"/>
      <c r="R16" s="14"/>
    </row>
    <row r="17" spans="1:18" ht="15.75" customHeight="1" outlineLevel="1">
      <c r="A17" s="37" t="s">
        <v>583</v>
      </c>
      <c r="B17" s="55" t="s">
        <v>50</v>
      </c>
      <c r="C17" s="36"/>
      <c r="D17" s="34" t="s">
        <v>584</v>
      </c>
      <c r="E17" s="122" t="s">
        <v>281</v>
      </c>
      <c r="F17" s="123"/>
      <c r="G17" s="17" t="s">
        <v>86</v>
      </c>
      <c r="H17" s="22" t="s">
        <v>583</v>
      </c>
      <c r="I17" s="23"/>
      <c r="J17" s="41"/>
      <c r="K17" s="12"/>
      <c r="L17" s="12"/>
      <c r="M17" s="49"/>
      <c r="N17" s="140"/>
      <c r="O17" s="141"/>
      <c r="P17" s="13"/>
      <c r="Q17" s="14"/>
      <c r="R17" s="14"/>
    </row>
    <row r="18" spans="1:18" ht="15.75" customHeight="1" outlineLevel="1">
      <c r="A18" s="37" t="s">
        <v>517</v>
      </c>
      <c r="B18" s="34" t="s">
        <v>38</v>
      </c>
      <c r="C18" s="36"/>
      <c r="D18" s="34" t="s">
        <v>585</v>
      </c>
      <c r="E18" s="122" t="s">
        <v>281</v>
      </c>
      <c r="F18" s="123"/>
      <c r="G18" s="17" t="s">
        <v>86</v>
      </c>
      <c r="H18" s="22" t="s">
        <v>517</v>
      </c>
      <c r="I18" s="23"/>
      <c r="J18" s="41"/>
      <c r="K18" s="12"/>
      <c r="L18" s="12"/>
      <c r="M18" s="49"/>
      <c r="N18" s="42"/>
      <c r="O18" s="43"/>
      <c r="P18" s="13"/>
      <c r="Q18" s="14"/>
      <c r="R18" s="14"/>
    </row>
    <row r="19" spans="1:18" ht="15.75" customHeight="1" outlineLevel="1">
      <c r="A19" s="37" t="s">
        <v>519</v>
      </c>
      <c r="B19" s="34" t="s">
        <v>38</v>
      </c>
      <c r="C19" s="36"/>
      <c r="D19" s="16" t="s">
        <v>520</v>
      </c>
      <c r="E19" s="122" t="s">
        <v>281</v>
      </c>
      <c r="F19" s="123"/>
      <c r="G19" s="17" t="s">
        <v>586</v>
      </c>
      <c r="H19" s="22" t="s">
        <v>519</v>
      </c>
      <c r="I19" s="23"/>
      <c r="J19" s="41"/>
      <c r="K19" s="12"/>
      <c r="L19" s="12"/>
      <c r="M19" s="49"/>
      <c r="N19" s="140"/>
      <c r="O19" s="141"/>
      <c r="P19" s="13"/>
      <c r="Q19" s="14"/>
      <c r="R19" s="14"/>
    </row>
    <row r="20" spans="1:18" ht="15.75" customHeight="1" outlineLevel="1">
      <c r="A20" s="70" t="s">
        <v>587</v>
      </c>
      <c r="B20" s="70" t="s">
        <v>38</v>
      </c>
      <c r="C20" s="36"/>
      <c r="D20" s="16" t="s">
        <v>588</v>
      </c>
      <c r="E20" s="94" t="s">
        <v>135</v>
      </c>
      <c r="F20" s="95"/>
      <c r="G20" s="17" t="s">
        <v>86</v>
      </c>
      <c r="H20" s="87" t="s">
        <v>589</v>
      </c>
      <c r="I20" s="23"/>
      <c r="J20" s="41"/>
      <c r="K20" s="12"/>
      <c r="L20" s="12"/>
      <c r="M20" s="49"/>
      <c r="N20" s="42"/>
      <c r="O20" s="43"/>
      <c r="P20" s="13"/>
      <c r="Q20" s="14"/>
      <c r="R20" s="14"/>
    </row>
    <row r="21" spans="1:18" ht="15.75" customHeight="1" outlineLevel="1">
      <c r="A21" s="37" t="s">
        <v>590</v>
      </c>
      <c r="B21" s="55" t="s">
        <v>50</v>
      </c>
      <c r="C21" s="36"/>
      <c r="D21" s="34" t="s">
        <v>591</v>
      </c>
      <c r="E21" s="122" t="s">
        <v>281</v>
      </c>
      <c r="F21" s="123"/>
      <c r="G21" s="17" t="s">
        <v>586</v>
      </c>
      <c r="H21" s="22" t="s">
        <v>590</v>
      </c>
      <c r="I21" s="23"/>
      <c r="J21" s="41"/>
      <c r="K21" s="12"/>
      <c r="L21" s="12"/>
      <c r="M21" s="49"/>
      <c r="N21" s="140"/>
      <c r="O21" s="141"/>
      <c r="P21" s="13"/>
      <c r="Q21" s="14"/>
      <c r="R21" s="14"/>
    </row>
    <row r="22" spans="1:18" ht="15.75" customHeight="1" outlineLevel="1">
      <c r="A22" s="37"/>
      <c r="B22" s="34"/>
      <c r="C22" s="36"/>
      <c r="D22" s="34"/>
      <c r="E22" s="46"/>
      <c r="F22" s="47"/>
      <c r="G22" s="17"/>
      <c r="H22" s="17"/>
      <c r="I22" s="48"/>
      <c r="J22" s="41"/>
      <c r="K22" s="12"/>
      <c r="L22" s="12"/>
      <c r="M22" s="45"/>
      <c r="N22" s="42"/>
      <c r="O22" s="43"/>
      <c r="P22" s="13"/>
      <c r="Q22" s="14"/>
      <c r="R22" s="14"/>
    </row>
    <row r="23" spans="1:18" ht="15.75" customHeight="1" outlineLevel="1">
      <c r="A23" s="37"/>
      <c r="B23" s="34"/>
      <c r="C23" s="36"/>
      <c r="D23" s="34"/>
      <c r="E23" s="94"/>
      <c r="F23" s="95"/>
      <c r="G23" s="17"/>
      <c r="H23" s="22"/>
      <c r="I23" s="23"/>
      <c r="J23" s="41"/>
      <c r="K23" s="12"/>
      <c r="L23" s="12"/>
      <c r="M23" s="45"/>
      <c r="N23" s="140"/>
      <c r="O23" s="141"/>
      <c r="P23" s="13"/>
      <c r="Q23" s="14"/>
      <c r="R23" s="14"/>
    </row>
    <row r="24" spans="1:18" ht="15.75" customHeight="1" outlineLevel="1">
      <c r="A24" s="38" t="s">
        <v>109</v>
      </c>
      <c r="B24" s="39"/>
      <c r="C24" s="40"/>
      <c r="D24" s="9"/>
      <c r="E24" s="94"/>
      <c r="F24" s="95"/>
      <c r="G24" s="17"/>
      <c r="H24" s="25"/>
      <c r="I24" s="24"/>
      <c r="J24" s="51"/>
      <c r="K24" s="3"/>
      <c r="L24" s="3"/>
      <c r="M24" s="49"/>
      <c r="N24" s="142"/>
      <c r="O24" s="143"/>
      <c r="P24" s="4"/>
      <c r="Q24" s="14"/>
      <c r="R24" s="14"/>
    </row>
    <row r="25" spans="1:18" ht="15.75" customHeight="1">
      <c r="E25" s="107"/>
      <c r="F25" s="108"/>
      <c r="G25" s="105"/>
      <c r="H25" s="106"/>
      <c r="I25" s="26"/>
      <c r="N25" s="124"/>
      <c r="O25" s="124"/>
      <c r="Q25" s="5" t="s">
        <v>486</v>
      </c>
      <c r="R25" s="5" t="s">
        <v>486</v>
      </c>
    </row>
    <row r="26" spans="1:18" ht="15.75" customHeight="1"/>
    <row r="27" spans="1:18" ht="15.75" customHeight="1"/>
    <row r="28" spans="1:18" ht="15.75" customHeight="1"/>
    <row r="29" spans="1:18" ht="15.75" customHeight="1"/>
    <row r="30" spans="1:18" ht="15.75" customHeight="1"/>
    <row r="31" spans="1:18" ht="15.75" customHeight="1"/>
    <row r="32" spans="1:1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</sheetData>
  <autoFilter ref="A8:P24" xr:uid="{00000000-0009-0000-0000-000000000000}"/>
  <mergeCells count="53">
    <mergeCell ref="E20:F20"/>
    <mergeCell ref="N19:O19"/>
    <mergeCell ref="E19:F19"/>
    <mergeCell ref="R2:R5"/>
    <mergeCell ref="C3:C5"/>
    <mergeCell ref="D3:D5"/>
    <mergeCell ref="F3:G3"/>
    <mergeCell ref="F4:G4"/>
    <mergeCell ref="F5:G5"/>
    <mergeCell ref="E9:F9"/>
    <mergeCell ref="N9:O9"/>
    <mergeCell ref="E11:F11"/>
    <mergeCell ref="N11:O11"/>
    <mergeCell ref="B7:D7"/>
    <mergeCell ref="E7:I7"/>
    <mergeCell ref="J7:L7"/>
    <mergeCell ref="N7:P7"/>
    <mergeCell ref="N14:O14"/>
    <mergeCell ref="E12:F12"/>
    <mergeCell ref="N12:O12"/>
    <mergeCell ref="B1:D1"/>
    <mergeCell ref="E1:I1"/>
    <mergeCell ref="N1:P1"/>
    <mergeCell ref="E2:E6"/>
    <mergeCell ref="F2:G2"/>
    <mergeCell ref="J2:L6"/>
    <mergeCell ref="M2:M6"/>
    <mergeCell ref="N2:N6"/>
    <mergeCell ref="O2:P6"/>
    <mergeCell ref="F6:I6"/>
    <mergeCell ref="E21:F21"/>
    <mergeCell ref="N21:O21"/>
    <mergeCell ref="E18:F18"/>
    <mergeCell ref="E10:F10"/>
    <mergeCell ref="Q2:Q5"/>
    <mergeCell ref="E16:F16"/>
    <mergeCell ref="N16:O16"/>
    <mergeCell ref="E17:F17"/>
    <mergeCell ref="N17:O17"/>
    <mergeCell ref="E15:F15"/>
    <mergeCell ref="N15:O15"/>
    <mergeCell ref="E8:F8"/>
    <mergeCell ref="N8:O8"/>
    <mergeCell ref="E13:F13"/>
    <mergeCell ref="N13:O13"/>
    <mergeCell ref="E14:F14"/>
    <mergeCell ref="E23:F23"/>
    <mergeCell ref="N23:O23"/>
    <mergeCell ref="E24:F24"/>
    <mergeCell ref="N24:O24"/>
    <mergeCell ref="E25:F25"/>
    <mergeCell ref="G25:H25"/>
    <mergeCell ref="N25:O25"/>
  </mergeCells>
  <conditionalFormatting sqref="A9:A24">
    <cfRule type="expression" dxfId="9" priority="1">
      <formula>M9 = "On Hold"</formula>
    </cfRule>
  </conditionalFormatting>
  <conditionalFormatting sqref="B2:B5 J9:P24">
    <cfRule type="cellIs" dxfId="8" priority="2" operator="equal">
      <formula>"Done"</formula>
    </cfRule>
    <cfRule type="cellIs" dxfId="7" priority="3" operator="equal">
      <formula>"On Hold"</formula>
    </cfRule>
    <cfRule type="cellIs" dxfId="6" priority="5" operator="equal">
      <formula>"Ready for Review"</formula>
    </cfRule>
    <cfRule type="cellIs" dxfId="5" priority="6" operator="equal">
      <formula>"In Review"</formula>
    </cfRule>
  </conditionalFormatting>
  <dataValidations disablePrompts="1" count="7">
    <dataValidation type="list" allowBlank="1" sqref="B3 M9:M24" xr:uid="{D6309098-931F-424A-91C6-937A89D0551D}">
      <formula1>Statuses</formula1>
    </dataValidation>
    <dataValidation type="list" allowBlank="1" sqref="B4:B5" xr:uid="{5FB02644-E9B4-4AB8-B62D-30E3F8E5F58C}">
      <formula1>ETL_Statuses</formula1>
    </dataValidation>
    <dataValidation type="list" allowBlank="1" showErrorMessage="1" sqref="B2" xr:uid="{C5352E63-156F-41D0-9331-8A1CF57EFBA4}">
      <formula1>STT_Statuses</formula1>
    </dataValidation>
    <dataValidation type="list" allowBlank="1" sqref="B10:B13 B15 B18:B20 B22:B24" xr:uid="{EFBA93B7-0847-4AAC-A627-BC5BEC0188B7}">
      <formula1>Data_Types</formula1>
    </dataValidation>
    <dataValidation type="list" allowBlank="1" sqref="E12:E13 E22:E24" xr:uid="{012C05B8-486A-46AB-8621-A83DB270F548}">
      <formula1>Sources</formula1>
    </dataValidation>
    <dataValidation type="list" allowBlank="1" sqref="P9:P24" xr:uid="{502CE305-7D5A-47DC-BA0A-01A4A3348DDC}">
      <formula1>Versions</formula1>
    </dataValidation>
    <dataValidation type="list" allowBlank="1" sqref="N9:N24" xr:uid="{1EA5FD75-4C46-47E8-8193-B65339170165}">
      <formula1>Categories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E2855-F183-4DC8-908D-6F66C58ED8A4}">
  <sheetPr>
    <tabColor theme="6" tint="0.59999389629810485"/>
    <outlinePr summaryBelow="0" summaryRight="0"/>
  </sheetPr>
  <dimension ref="A1:R144"/>
  <sheetViews>
    <sheetView zoomScale="80" zoomScaleNormal="80" workbookViewId="0">
      <pane xSplit="1" ySplit="8" topLeftCell="B9" activePane="bottomRight" state="frozen"/>
      <selection pane="bottomRight" activeCell="G9" sqref="G9:G13"/>
      <selection pane="bottomLeft" activeCell="A9" sqref="A9"/>
      <selection pane="topRight" activeCell="B1" sqref="B1"/>
    </sheetView>
  </sheetViews>
  <sheetFormatPr defaultColWidth="12.7109375" defaultRowHeight="15" customHeight="1" outlineLevelRow="1" outlineLevelCol="1"/>
  <cols>
    <col min="1" max="1" width="35.7109375" style="18" customWidth="1"/>
    <col min="2" max="2" width="16.28515625" style="18" customWidth="1" outlineLevel="1"/>
    <col min="3" max="3" width="7" style="18" customWidth="1" outlineLevel="1"/>
    <col min="4" max="4" width="28" style="18" customWidth="1" outlineLevel="1"/>
    <col min="5" max="5" width="2.28515625" style="21" customWidth="1"/>
    <col min="6" max="6" width="12.7109375" style="44" customWidth="1" outlineLevel="1"/>
    <col min="7" max="7" width="18.140625" style="27" customWidth="1" outlineLevel="1"/>
    <col min="8" max="8" width="30.7109375" style="18" customWidth="1" outlineLevel="1"/>
    <col min="9" max="9" width="23.42578125" style="18" customWidth="1" outlineLevel="1"/>
    <col min="10" max="10" width="5.85546875" hidden="1" customWidth="1" outlineLevel="1"/>
    <col min="11" max="11" width="5" hidden="1" customWidth="1" outlineLevel="1"/>
    <col min="12" max="12" width="11.7109375" hidden="1" customWidth="1" outlineLevel="1"/>
    <col min="13" max="13" width="2.28515625" customWidth="1"/>
    <col min="14" max="14" width="2.28515625" customWidth="1" collapsed="1"/>
    <col min="15" max="15" width="10.7109375" hidden="1" customWidth="1" outlineLevel="1"/>
    <col min="16" max="16" width="11" hidden="1" customWidth="1" outlineLevel="1"/>
    <col min="17" max="18" width="47.7109375" customWidth="1"/>
  </cols>
  <sheetData>
    <row r="1" spans="1:18" ht="5.25" customHeight="1" outlineLevel="1">
      <c r="A1" s="28"/>
      <c r="B1" s="109"/>
      <c r="C1" s="106"/>
      <c r="D1" s="106"/>
      <c r="E1" s="110"/>
      <c r="F1" s="106"/>
      <c r="G1" s="106"/>
      <c r="H1" s="106"/>
      <c r="I1" s="106"/>
      <c r="J1" s="2"/>
      <c r="K1" s="2"/>
      <c r="L1" s="2"/>
      <c r="M1" s="2"/>
      <c r="N1" s="111"/>
      <c r="O1" s="124"/>
      <c r="P1" s="124"/>
    </row>
    <row r="2" spans="1:18" ht="15.75" customHeight="1" outlineLevel="1">
      <c r="A2" s="29" t="s">
        <v>0</v>
      </c>
      <c r="B2" s="29" t="s">
        <v>1</v>
      </c>
      <c r="C2" s="30"/>
      <c r="D2" s="31" t="s">
        <v>2</v>
      </c>
      <c r="E2" s="112" t="s">
        <v>3</v>
      </c>
      <c r="F2" s="115" t="s">
        <v>4</v>
      </c>
      <c r="G2" s="116"/>
      <c r="H2" s="19" t="s">
        <v>5</v>
      </c>
      <c r="I2" s="20"/>
      <c r="J2" s="117"/>
      <c r="K2" s="125"/>
      <c r="L2" s="126"/>
      <c r="M2" s="118" t="s">
        <v>6</v>
      </c>
      <c r="N2" s="119" t="s">
        <v>7</v>
      </c>
      <c r="O2" s="120"/>
      <c r="P2" s="126"/>
      <c r="Q2" s="127" t="s">
        <v>8</v>
      </c>
      <c r="R2" s="128" t="s">
        <v>9</v>
      </c>
    </row>
    <row r="3" spans="1:18" ht="15.75" customHeight="1" outlineLevel="1">
      <c r="A3" s="29" t="s">
        <v>10</v>
      </c>
      <c r="B3" s="29"/>
      <c r="C3" s="108"/>
      <c r="D3" s="121" t="s">
        <v>592</v>
      </c>
      <c r="E3" s="113"/>
      <c r="F3" s="103" t="s">
        <v>593</v>
      </c>
      <c r="G3" s="104"/>
      <c r="H3" s="19" t="s">
        <v>13</v>
      </c>
      <c r="I3" s="20"/>
      <c r="J3" s="129"/>
      <c r="K3" s="128"/>
      <c r="L3" s="130"/>
      <c r="M3" s="131"/>
      <c r="N3" s="131"/>
      <c r="O3" s="129"/>
      <c r="P3" s="130"/>
      <c r="Q3" s="127"/>
      <c r="R3" s="128"/>
    </row>
    <row r="4" spans="1:18" ht="15.75" customHeight="1" outlineLevel="1">
      <c r="A4" s="29" t="s">
        <v>14</v>
      </c>
      <c r="B4" s="29"/>
      <c r="C4" s="108"/>
      <c r="D4" s="113"/>
      <c r="E4" s="113"/>
      <c r="F4" s="115" t="s">
        <v>15</v>
      </c>
      <c r="G4" s="116"/>
      <c r="H4" s="19" t="s">
        <v>16</v>
      </c>
      <c r="I4" s="20"/>
      <c r="J4" s="129"/>
      <c r="K4" s="128"/>
      <c r="L4" s="130"/>
      <c r="M4" s="131"/>
      <c r="N4" s="131"/>
      <c r="O4" s="129"/>
      <c r="P4" s="130"/>
      <c r="Q4" s="127"/>
      <c r="R4" s="128"/>
    </row>
    <row r="5" spans="1:18" ht="15.75" customHeight="1" outlineLevel="1">
      <c r="A5" s="29" t="s">
        <v>17</v>
      </c>
      <c r="B5" s="29"/>
      <c r="C5" s="108"/>
      <c r="D5" s="114"/>
      <c r="E5" s="113"/>
      <c r="F5" s="103" t="s">
        <v>18</v>
      </c>
      <c r="G5" s="104"/>
      <c r="H5" s="19" t="s">
        <v>19</v>
      </c>
      <c r="I5" s="20"/>
      <c r="J5" s="129"/>
      <c r="K5" s="128"/>
      <c r="L5" s="130"/>
      <c r="M5" s="131"/>
      <c r="N5" s="131"/>
      <c r="O5" s="129"/>
      <c r="P5" s="130"/>
      <c r="Q5" s="132"/>
      <c r="R5" s="133"/>
    </row>
    <row r="6" spans="1:18" ht="15.75" customHeight="1" outlineLevel="1">
      <c r="A6" s="21"/>
      <c r="B6" s="21"/>
      <c r="C6" s="32" t="e" vm="1">
        <v>#VALUE!</v>
      </c>
      <c r="D6" s="21"/>
      <c r="E6" s="114"/>
      <c r="F6" s="108"/>
      <c r="G6" s="108"/>
      <c r="H6" s="108"/>
      <c r="I6" s="108"/>
      <c r="J6" s="134"/>
      <c r="K6" s="135"/>
      <c r="L6" s="136"/>
      <c r="M6" s="137"/>
      <c r="N6" s="137"/>
      <c r="O6" s="134"/>
      <c r="P6" s="136"/>
      <c r="Q6" s="10" t="s">
        <v>20</v>
      </c>
      <c r="R6" s="10" t="s">
        <v>20</v>
      </c>
    </row>
    <row r="7" spans="1:18" ht="15.75" customHeight="1">
      <c r="A7" s="33" t="s">
        <v>21</v>
      </c>
      <c r="B7" s="98" t="s">
        <v>21</v>
      </c>
      <c r="C7" s="99"/>
      <c r="D7" s="99"/>
      <c r="E7" s="100" t="s">
        <v>22</v>
      </c>
      <c r="F7" s="99"/>
      <c r="G7" s="99"/>
      <c r="H7" s="99"/>
      <c r="I7" s="101"/>
      <c r="J7" s="138"/>
      <c r="K7" s="138"/>
      <c r="L7" s="139"/>
      <c r="M7" s="53" t="s">
        <v>23</v>
      </c>
      <c r="N7" s="102" t="s">
        <v>24</v>
      </c>
      <c r="O7" s="138"/>
      <c r="P7" s="139"/>
      <c r="Q7" s="11" t="s">
        <v>594</v>
      </c>
      <c r="R7" s="11"/>
    </row>
    <row r="8" spans="1:18" ht="15.75" customHeight="1">
      <c r="A8" s="34" t="s">
        <v>26</v>
      </c>
      <c r="B8" s="34" t="s">
        <v>27</v>
      </c>
      <c r="C8" s="34" t="s">
        <v>28</v>
      </c>
      <c r="D8" s="35" t="s">
        <v>29</v>
      </c>
      <c r="E8" s="94" t="s">
        <v>30</v>
      </c>
      <c r="F8" s="101"/>
      <c r="G8" s="17" t="s">
        <v>31</v>
      </c>
      <c r="H8" s="22" t="s">
        <v>32</v>
      </c>
      <c r="I8" s="23" t="s">
        <v>33</v>
      </c>
      <c r="J8" s="50"/>
      <c r="K8" s="12" t="s">
        <v>31</v>
      </c>
      <c r="L8" s="12" t="s">
        <v>26</v>
      </c>
      <c r="M8" s="52" t="s">
        <v>34</v>
      </c>
      <c r="N8" s="140" t="s">
        <v>35</v>
      </c>
      <c r="O8" s="139"/>
      <c r="P8" s="13" t="s">
        <v>36</v>
      </c>
      <c r="Q8" s="14" t="str">
        <f>"("</f>
        <v>(</v>
      </c>
      <c r="R8" s="14" t="str">
        <f>"("</f>
        <v>(</v>
      </c>
    </row>
    <row r="9" spans="1:18" ht="15.75" customHeight="1" outlineLevel="1">
      <c r="A9" s="37" t="s">
        <v>143</v>
      </c>
      <c r="B9" s="34" t="s">
        <v>38</v>
      </c>
      <c r="C9" s="36" t="e" vm="1">
        <v>#VALUE!</v>
      </c>
      <c r="D9" s="34" t="s">
        <v>595</v>
      </c>
      <c r="E9" s="94" t="s">
        <v>40</v>
      </c>
      <c r="F9" s="95"/>
      <c r="G9" s="17" t="s">
        <v>147</v>
      </c>
      <c r="H9" s="17" t="s">
        <v>143</v>
      </c>
      <c r="I9" s="23"/>
      <c r="J9" s="41"/>
      <c r="K9" s="12"/>
      <c r="L9" s="12"/>
      <c r="M9" s="49"/>
      <c r="N9" s="140" t="s">
        <v>42</v>
      </c>
      <c r="O9" s="141"/>
      <c r="P9" s="13" t="s">
        <v>43</v>
      </c>
      <c r="Q9" s="14"/>
      <c r="R9" s="14"/>
    </row>
    <row r="10" spans="1:18" ht="15.75" customHeight="1" outlineLevel="1">
      <c r="A10" s="37" t="s">
        <v>99</v>
      </c>
      <c r="B10" s="34" t="s">
        <v>50</v>
      </c>
      <c r="C10" s="36"/>
      <c r="D10" s="34" t="s">
        <v>100</v>
      </c>
      <c r="E10" s="94" t="s">
        <v>40</v>
      </c>
      <c r="F10" s="95"/>
      <c r="G10" s="17" t="s">
        <v>147</v>
      </c>
      <c r="H10" s="17" t="s">
        <v>99</v>
      </c>
      <c r="I10" s="23"/>
      <c r="J10" s="41"/>
      <c r="K10" s="12"/>
      <c r="L10" s="12"/>
      <c r="M10" s="49"/>
      <c r="N10" s="140"/>
      <c r="O10" s="141"/>
      <c r="P10" s="13"/>
      <c r="Q10" s="14"/>
      <c r="R10" s="14"/>
    </row>
    <row r="11" spans="1:18" ht="15.75" customHeight="1" outlineLevel="1">
      <c r="A11" s="37" t="s">
        <v>138</v>
      </c>
      <c r="B11" s="34" t="s">
        <v>50</v>
      </c>
      <c r="C11" s="36"/>
      <c r="D11" s="34" t="s">
        <v>139</v>
      </c>
      <c r="E11" s="94" t="s">
        <v>40</v>
      </c>
      <c r="F11" s="95"/>
      <c r="G11" s="17" t="s">
        <v>147</v>
      </c>
      <c r="H11" s="17" t="s">
        <v>138</v>
      </c>
      <c r="I11" s="23"/>
      <c r="J11" s="41"/>
      <c r="K11" s="12"/>
      <c r="L11" s="12"/>
      <c r="M11" s="49"/>
      <c r="N11" s="140"/>
      <c r="O11" s="141"/>
      <c r="P11" s="13"/>
      <c r="Q11" s="14"/>
      <c r="R11" s="14"/>
    </row>
    <row r="12" spans="1:18" ht="15.75" customHeight="1" outlineLevel="1">
      <c r="A12" s="37" t="s">
        <v>596</v>
      </c>
      <c r="B12" s="34" t="s">
        <v>72</v>
      </c>
      <c r="C12" s="36"/>
      <c r="D12" s="16" t="s">
        <v>597</v>
      </c>
      <c r="E12" s="94" t="s">
        <v>40</v>
      </c>
      <c r="F12" s="95"/>
      <c r="G12" s="17" t="s">
        <v>147</v>
      </c>
      <c r="H12" s="17" t="s">
        <v>596</v>
      </c>
      <c r="I12" s="23"/>
      <c r="J12" s="41"/>
      <c r="K12" s="12"/>
      <c r="L12" s="12"/>
      <c r="M12" s="49"/>
      <c r="N12" s="140"/>
      <c r="O12" s="141"/>
      <c r="P12" s="13"/>
      <c r="Q12" s="14"/>
      <c r="R12" s="14"/>
    </row>
    <row r="13" spans="1:18" ht="15.75" customHeight="1" outlineLevel="1">
      <c r="A13" s="37" t="s">
        <v>145</v>
      </c>
      <c r="B13" s="34" t="s">
        <v>38</v>
      </c>
      <c r="C13" s="36"/>
      <c r="D13" s="16" t="s">
        <v>146</v>
      </c>
      <c r="E13" s="94" t="s">
        <v>40</v>
      </c>
      <c r="F13" s="95"/>
      <c r="G13" s="17" t="s">
        <v>147</v>
      </c>
      <c r="H13" s="22" t="s">
        <v>145</v>
      </c>
      <c r="I13" s="23"/>
      <c r="J13" s="41"/>
      <c r="K13" s="12"/>
      <c r="L13" s="12"/>
      <c r="M13" s="49"/>
      <c r="N13" s="140"/>
      <c r="O13" s="141"/>
      <c r="P13" s="13"/>
      <c r="Q13" s="14"/>
      <c r="R13" s="14"/>
    </row>
    <row r="14" spans="1:18" ht="15.75" customHeight="1" outlineLevel="1">
      <c r="A14" s="37"/>
      <c r="B14" s="34"/>
      <c r="C14" s="36"/>
      <c r="D14" s="34"/>
      <c r="E14" s="46"/>
      <c r="F14" s="47"/>
      <c r="G14" s="17"/>
      <c r="H14" s="22"/>
      <c r="I14" s="48"/>
      <c r="J14" s="41"/>
      <c r="K14" s="12"/>
      <c r="L14" s="12"/>
      <c r="M14" s="45"/>
      <c r="N14" s="42"/>
      <c r="O14" s="43"/>
      <c r="P14" s="13"/>
      <c r="Q14" s="14"/>
      <c r="R14" s="14"/>
    </row>
    <row r="15" spans="1:18" ht="15.75" customHeight="1" outlineLevel="1">
      <c r="A15" s="37"/>
      <c r="B15" s="34"/>
      <c r="C15" s="36"/>
      <c r="D15" s="34"/>
      <c r="E15" s="94"/>
      <c r="F15" s="95"/>
      <c r="G15" s="17"/>
      <c r="H15" s="22"/>
      <c r="I15" s="23"/>
      <c r="J15" s="41"/>
      <c r="K15" s="12"/>
      <c r="L15" s="12"/>
      <c r="M15" s="45"/>
      <c r="N15" s="140"/>
      <c r="O15" s="141"/>
      <c r="P15" s="13"/>
      <c r="Q15" s="14"/>
      <c r="R15" s="14"/>
    </row>
    <row r="16" spans="1:18" ht="15.75" customHeight="1" outlineLevel="1">
      <c r="A16" s="38" t="s">
        <v>109</v>
      </c>
      <c r="B16" s="39"/>
      <c r="C16" s="40"/>
      <c r="D16" s="9"/>
      <c r="E16" s="94"/>
      <c r="F16" s="95"/>
      <c r="G16" s="17"/>
      <c r="H16" s="25"/>
      <c r="I16" s="24"/>
      <c r="J16" s="51"/>
      <c r="K16" s="3"/>
      <c r="L16" s="3"/>
      <c r="M16" s="49"/>
      <c r="N16" s="142"/>
      <c r="O16" s="143"/>
      <c r="P16" s="4"/>
      <c r="Q16" s="14"/>
      <c r="R16" s="14"/>
    </row>
    <row r="17" spans="5:15" ht="15.75" customHeight="1">
      <c r="E17" s="107"/>
      <c r="F17" s="108"/>
      <c r="G17" s="105"/>
      <c r="H17" s="106"/>
      <c r="I17" s="26"/>
      <c r="N17" s="124"/>
      <c r="O17" s="124"/>
    </row>
    <row r="18" spans="5:15" ht="15.75" customHeight="1"/>
    <row r="19" spans="5:15" ht="15.75" customHeight="1"/>
    <row r="20" spans="5:15" ht="15.75" customHeight="1"/>
    <row r="21" spans="5:15" ht="15.75" customHeight="1"/>
    <row r="22" spans="5:15" ht="15.75" customHeight="1"/>
    <row r="23" spans="5:15" ht="15.75" customHeight="1"/>
    <row r="24" spans="5:15" ht="15.75" customHeight="1"/>
    <row r="25" spans="5:15" ht="15.75" customHeight="1"/>
    <row r="26" spans="5:15" ht="15.75" customHeight="1"/>
    <row r="27" spans="5:15" ht="15.75" customHeight="1"/>
    <row r="28" spans="5:15" ht="15.75" customHeight="1"/>
    <row r="29" spans="5:15" ht="15.75" customHeight="1"/>
    <row r="30" spans="5:15" ht="15.75" customHeight="1"/>
    <row r="31" spans="5:15" ht="15.75" customHeight="1"/>
    <row r="32" spans="5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</sheetData>
  <autoFilter ref="A8:P16" xr:uid="{00000000-0009-0000-0000-000000000000}"/>
  <mergeCells count="40">
    <mergeCell ref="B1:D1"/>
    <mergeCell ref="E1:I1"/>
    <mergeCell ref="N1:P1"/>
    <mergeCell ref="E2:E6"/>
    <mergeCell ref="F2:G2"/>
    <mergeCell ref="J2:L6"/>
    <mergeCell ref="M2:M6"/>
    <mergeCell ref="N2:N6"/>
    <mergeCell ref="O2:P6"/>
    <mergeCell ref="F6:I6"/>
    <mergeCell ref="C3:C5"/>
    <mergeCell ref="D3:D5"/>
    <mergeCell ref="F3:G3"/>
    <mergeCell ref="F4:G4"/>
    <mergeCell ref="F5:G5"/>
    <mergeCell ref="B7:D7"/>
    <mergeCell ref="E7:I7"/>
    <mergeCell ref="J7:L7"/>
    <mergeCell ref="N7:P7"/>
    <mergeCell ref="E8:F8"/>
    <mergeCell ref="N8:O8"/>
    <mergeCell ref="E16:F16"/>
    <mergeCell ref="N16:O16"/>
    <mergeCell ref="E17:F17"/>
    <mergeCell ref="G17:H17"/>
    <mergeCell ref="N17:O17"/>
    <mergeCell ref="E13:F13"/>
    <mergeCell ref="N13:O13"/>
    <mergeCell ref="R2:R5"/>
    <mergeCell ref="E15:F15"/>
    <mergeCell ref="N15:O15"/>
    <mergeCell ref="E11:F11"/>
    <mergeCell ref="N11:O11"/>
    <mergeCell ref="E12:F12"/>
    <mergeCell ref="N12:O12"/>
    <mergeCell ref="E10:F10"/>
    <mergeCell ref="N10:O10"/>
    <mergeCell ref="E9:F9"/>
    <mergeCell ref="N9:O9"/>
    <mergeCell ref="Q2:Q5"/>
  </mergeCells>
  <conditionalFormatting sqref="A9:A16">
    <cfRule type="expression" dxfId="4" priority="5">
      <formula>M9 = "On Hold"</formula>
    </cfRule>
  </conditionalFormatting>
  <conditionalFormatting sqref="B2:B5 J9:P16">
    <cfRule type="cellIs" dxfId="3" priority="3" operator="equal">
      <formula>"Done"</formula>
    </cfRule>
    <cfRule type="cellIs" dxfId="2" priority="4" operator="equal">
      <formula>"On Hold"</formula>
    </cfRule>
    <cfRule type="cellIs" dxfId="1" priority="6" operator="equal">
      <formula>"Ready for Review"</formula>
    </cfRule>
    <cfRule type="cellIs" dxfId="0" priority="7" operator="equal">
      <formula>"In Review"</formula>
    </cfRule>
  </conditionalFormatting>
  <dataValidations disablePrompts="1" count="7">
    <dataValidation type="list" allowBlank="1" showErrorMessage="1" sqref="B2" xr:uid="{1D419E36-7FC1-458F-8861-AE32A98B0D34}">
      <formula1>STT_Statuses</formula1>
    </dataValidation>
    <dataValidation type="list" allowBlank="1" sqref="B4:B5" xr:uid="{CAEFA34C-389B-4D94-B578-FE6A8B9A3A39}">
      <formula1>ETL_Statuses</formula1>
    </dataValidation>
    <dataValidation type="list" allowBlank="1" sqref="B3 M9:M16" xr:uid="{BBD83AD3-8AA6-4A94-BBFB-21DA74516EF0}">
      <formula1>Statuses</formula1>
    </dataValidation>
    <dataValidation type="list" allowBlank="1" sqref="B9:B16" xr:uid="{FF1BDA3D-ED83-4B25-ABCD-DB7A54E03931}">
      <formula1>Data_Types</formula1>
    </dataValidation>
    <dataValidation type="list" allowBlank="1" sqref="N9:N16" xr:uid="{8E66E3FA-537B-4FEE-95D1-DEC907A07FFF}">
      <formula1>Categories</formula1>
    </dataValidation>
    <dataValidation type="list" allowBlank="1" sqref="P9:P16" xr:uid="{78EA5D5B-197B-450B-AC5E-7C30DA07020A}">
      <formula1>Versions</formula1>
    </dataValidation>
    <dataValidation type="list" allowBlank="1" sqref="E9:E16" xr:uid="{0A40E97B-1FEE-488E-A605-70DF54123D5F}">
      <formula1>Sources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0EABD-37E1-474A-A9D8-4444F3ECA48F}">
  <dimension ref="A1:B18"/>
  <sheetViews>
    <sheetView workbookViewId="0">
      <selection activeCell="B3" sqref="B3"/>
    </sheetView>
  </sheetViews>
  <sheetFormatPr defaultRowHeight="12.75"/>
  <cols>
    <col min="2" max="2" width="34.42578125" customWidth="1"/>
  </cols>
  <sheetData>
    <row r="1" spans="1:2">
      <c r="B1" t="s">
        <v>598</v>
      </c>
    </row>
    <row r="3" spans="1:2">
      <c r="A3">
        <v>1</v>
      </c>
      <c r="B3" t="s">
        <v>599</v>
      </c>
    </row>
    <row r="4" spans="1:2">
      <c r="A4">
        <v>2</v>
      </c>
      <c r="B4" t="s">
        <v>600</v>
      </c>
    </row>
    <row r="5" spans="1:2">
      <c r="A5">
        <v>3</v>
      </c>
      <c r="B5" t="s">
        <v>586</v>
      </c>
    </row>
    <row r="6" spans="1:2">
      <c r="A6">
        <v>4</v>
      </c>
      <c r="B6" t="s">
        <v>601</v>
      </c>
    </row>
    <row r="7" spans="1:2">
      <c r="A7">
        <v>5</v>
      </c>
      <c r="B7" t="s">
        <v>530</v>
      </c>
    </row>
    <row r="8" spans="1:2">
      <c r="A8">
        <v>6</v>
      </c>
      <c r="B8" t="s">
        <v>602</v>
      </c>
    </row>
    <row r="9" spans="1:2">
      <c r="A9">
        <v>7</v>
      </c>
      <c r="B9" t="s">
        <v>603</v>
      </c>
    </row>
    <row r="10" spans="1:2">
      <c r="A10">
        <v>8</v>
      </c>
      <c r="B10" t="s">
        <v>604</v>
      </c>
    </row>
    <row r="11" spans="1:2">
      <c r="A11">
        <v>9</v>
      </c>
      <c r="B11" t="s">
        <v>605</v>
      </c>
    </row>
    <row r="12" spans="1:2">
      <c r="A12">
        <v>10</v>
      </c>
      <c r="B12" t="s">
        <v>606</v>
      </c>
    </row>
    <row r="13" spans="1:2">
      <c r="A13">
        <v>11</v>
      </c>
      <c r="B13" t="s">
        <v>607</v>
      </c>
    </row>
    <row r="14" spans="1:2">
      <c r="A14">
        <v>12</v>
      </c>
      <c r="B14" t="s">
        <v>608</v>
      </c>
    </row>
    <row r="15" spans="1:2">
      <c r="A15">
        <v>13</v>
      </c>
      <c r="B15" t="s">
        <v>609</v>
      </c>
    </row>
    <row r="16" spans="1:2">
      <c r="A16">
        <v>14</v>
      </c>
      <c r="B16" t="s">
        <v>594</v>
      </c>
    </row>
    <row r="17" spans="1:2">
      <c r="A17">
        <v>15</v>
      </c>
      <c r="B17" t="s">
        <v>610</v>
      </c>
    </row>
    <row r="18" spans="1:2">
      <c r="A18">
        <v>16</v>
      </c>
      <c r="B18" t="s">
        <v>611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1002"/>
  <sheetViews>
    <sheetView workbookViewId="0">
      <selection activeCell="A39" sqref="A39:A45"/>
    </sheetView>
  </sheetViews>
  <sheetFormatPr defaultColWidth="12.7109375" defaultRowHeight="15" customHeight="1"/>
  <cols>
    <col min="1" max="1" width="15" customWidth="1"/>
    <col min="2" max="3" width="18.42578125" customWidth="1"/>
    <col min="4" max="6" width="12.7109375" customWidth="1"/>
  </cols>
  <sheetData>
    <row r="1" spans="1:1" ht="15.75" customHeight="1">
      <c r="A1" s="6" t="s">
        <v>612</v>
      </c>
    </row>
    <row r="2" spans="1:1" ht="15.75" customHeight="1">
      <c r="A2" s="7" t="s">
        <v>18</v>
      </c>
    </row>
    <row r="3" spans="1:1" ht="15.75" customHeight="1">
      <c r="A3" s="7" t="s">
        <v>613</v>
      </c>
    </row>
    <row r="4" spans="1:1" ht="15.75" customHeight="1">
      <c r="A4" s="7" t="s">
        <v>614</v>
      </c>
    </row>
    <row r="5" spans="1:1" ht="15.75" customHeight="1">
      <c r="A5" s="7" t="s">
        <v>40</v>
      </c>
    </row>
    <row r="6" spans="1:1" ht="15.75" customHeight="1">
      <c r="A6" s="7" t="s">
        <v>135</v>
      </c>
    </row>
    <row r="7" spans="1:1" ht="15.75" customHeight="1">
      <c r="A7" s="7" t="s">
        <v>615</v>
      </c>
    </row>
    <row r="8" spans="1:1" ht="15.75" customHeight="1"/>
    <row r="9" spans="1:1" ht="15.75" customHeight="1">
      <c r="A9" s="6" t="s">
        <v>616</v>
      </c>
    </row>
    <row r="10" spans="1:1" ht="15.75" customHeight="1">
      <c r="A10" s="7" t="s">
        <v>7</v>
      </c>
    </row>
    <row r="11" spans="1:1" ht="15.75" customHeight="1">
      <c r="A11" s="7" t="s">
        <v>42</v>
      </c>
    </row>
    <row r="12" spans="1:1" ht="15.75" customHeight="1">
      <c r="A12" s="7" t="s">
        <v>617</v>
      </c>
    </row>
    <row r="13" spans="1:1" ht="15.75" customHeight="1">
      <c r="A13" s="7" t="s">
        <v>618</v>
      </c>
    </row>
    <row r="14" spans="1:1" ht="15.75" customHeight="1"/>
    <row r="15" spans="1:1" ht="15.75" customHeight="1">
      <c r="A15" s="6" t="s">
        <v>619</v>
      </c>
    </row>
    <row r="16" spans="1:1" ht="15.75" customHeight="1">
      <c r="A16" s="7" t="s">
        <v>43</v>
      </c>
    </row>
    <row r="17" spans="1:1" ht="15.75" customHeight="1">
      <c r="A17" s="7" t="s">
        <v>620</v>
      </c>
    </row>
    <row r="18" spans="1:1" ht="15.75" customHeight="1">
      <c r="A18" s="7" t="s">
        <v>621</v>
      </c>
    </row>
    <row r="19" spans="1:1" ht="15.75" customHeight="1"/>
    <row r="20" spans="1:1" ht="15.75" customHeight="1">
      <c r="A20" s="8" t="s">
        <v>622</v>
      </c>
    </row>
    <row r="21" spans="1:1" ht="15.75" customHeight="1">
      <c r="A21" s="7" t="s">
        <v>1</v>
      </c>
    </row>
    <row r="22" spans="1:1" ht="15.75" customHeight="1">
      <c r="A22" s="7" t="s">
        <v>623</v>
      </c>
    </row>
    <row r="23" spans="1:1" ht="15.75" customHeight="1">
      <c r="A23" s="7" t="s">
        <v>624</v>
      </c>
    </row>
    <row r="24" spans="1:1" ht="15.75" customHeight="1">
      <c r="A24" s="7" t="s">
        <v>625</v>
      </c>
    </row>
    <row r="25" spans="1:1" ht="15.75" customHeight="1">
      <c r="A25" s="7" t="s">
        <v>626</v>
      </c>
    </row>
    <row r="26" spans="1:1" ht="15.75" customHeight="1"/>
    <row r="27" spans="1:1" ht="15.75" customHeight="1">
      <c r="A27" s="8" t="s">
        <v>627</v>
      </c>
    </row>
    <row r="28" spans="1:1" ht="15.75" customHeight="1">
      <c r="A28" s="7" t="s">
        <v>1</v>
      </c>
    </row>
    <row r="29" spans="1:1" ht="15.75" customHeight="1">
      <c r="A29" s="7" t="s">
        <v>625</v>
      </c>
    </row>
    <row r="30" spans="1:1" ht="15.75" customHeight="1">
      <c r="A30" s="7" t="s">
        <v>628</v>
      </c>
    </row>
    <row r="31" spans="1:1" ht="15.75" customHeight="1">
      <c r="A31" s="7" t="s">
        <v>629</v>
      </c>
    </row>
    <row r="32" spans="1:1" ht="15.75" customHeight="1"/>
    <row r="33" spans="1:3" ht="15.75" customHeight="1">
      <c r="A33" s="8" t="s">
        <v>630</v>
      </c>
    </row>
    <row r="34" spans="1:3" ht="15.75" customHeight="1">
      <c r="A34" s="7" t="s">
        <v>1</v>
      </c>
    </row>
    <row r="35" spans="1:3" ht="15.75" customHeight="1">
      <c r="A35" s="7" t="s">
        <v>625</v>
      </c>
    </row>
    <row r="36" spans="1:3" ht="15.75" customHeight="1">
      <c r="A36" s="7" t="s">
        <v>626</v>
      </c>
    </row>
    <row r="37" spans="1:3" ht="15.75" customHeight="1"/>
    <row r="38" spans="1:3" ht="15.75" customHeight="1">
      <c r="A38" s="8" t="s">
        <v>631</v>
      </c>
      <c r="B38" s="8" t="s">
        <v>632</v>
      </c>
      <c r="C38" s="6"/>
    </row>
    <row r="39" spans="1:3" ht="15.75" customHeight="1">
      <c r="A39" s="1" t="s">
        <v>50</v>
      </c>
      <c r="B39" s="1" t="s">
        <v>50</v>
      </c>
      <c r="C39" s="1"/>
    </row>
    <row r="40" spans="1:3" ht="15.75" customHeight="1">
      <c r="A40" s="1" t="s">
        <v>50</v>
      </c>
      <c r="B40" s="1" t="s">
        <v>50</v>
      </c>
      <c r="C40" s="1"/>
    </row>
    <row r="41" spans="1:3" ht="15.75" customHeight="1">
      <c r="A41" s="1" t="s">
        <v>72</v>
      </c>
      <c r="B41" s="1" t="s">
        <v>72</v>
      </c>
      <c r="C41" s="1"/>
    </row>
    <row r="42" spans="1:3" ht="15.75" customHeight="1">
      <c r="A42" s="1" t="str">
        <f t="shared" ref="A42:A49" si="0">B42</f>
        <v>string</v>
      </c>
      <c r="B42" s="1" t="s">
        <v>38</v>
      </c>
      <c r="C42" s="1"/>
    </row>
    <row r="43" spans="1:3" ht="15.75" customHeight="1">
      <c r="A43" s="1" t="str">
        <f t="shared" si="0"/>
        <v>boolean</v>
      </c>
      <c r="B43" s="1" t="s">
        <v>440</v>
      </c>
      <c r="C43" s="1"/>
    </row>
    <row r="44" spans="1:3" ht="15.75" customHeight="1">
      <c r="A44" s="1" t="str">
        <f t="shared" si="0"/>
        <v>date</v>
      </c>
      <c r="B44" s="1" t="s">
        <v>45</v>
      </c>
      <c r="C44" s="1"/>
    </row>
    <row r="45" spans="1:3" ht="15.75" customHeight="1">
      <c r="A45" s="1" t="s">
        <v>420</v>
      </c>
      <c r="B45" s="1" t="s">
        <v>420</v>
      </c>
      <c r="C45" s="1"/>
    </row>
    <row r="46" spans="1:3" ht="15.75" customHeight="1">
      <c r="A46" s="1" t="str">
        <f t="shared" si="0"/>
        <v>variant</v>
      </c>
      <c r="B46" s="1" t="s">
        <v>633</v>
      </c>
      <c r="C46" s="1"/>
    </row>
    <row r="47" spans="1:3" ht="15.75" customHeight="1">
      <c r="A47" s="1" t="str">
        <f t="shared" si="0"/>
        <v>object</v>
      </c>
      <c r="B47" s="1" t="s">
        <v>634</v>
      </c>
      <c r="C47" s="1"/>
    </row>
    <row r="48" spans="1:3" ht="15.75" customHeight="1">
      <c r="A48" s="1" t="str">
        <f t="shared" si="0"/>
        <v>array</v>
      </c>
      <c r="B48" s="1" t="s">
        <v>635</v>
      </c>
      <c r="C48" s="1"/>
    </row>
    <row r="49" spans="1:3" ht="15.75" customHeight="1">
      <c r="A49" s="1" t="str">
        <f t="shared" si="0"/>
        <v>geography</v>
      </c>
      <c r="B49" s="1" t="s">
        <v>636</v>
      </c>
      <c r="C49" s="1"/>
    </row>
    <row r="50" spans="1:3" ht="15.75" customHeight="1"/>
    <row r="51" spans="1:3" ht="15.75" customHeight="1"/>
    <row r="52" spans="1:3" ht="15.75" customHeight="1"/>
    <row r="53" spans="1:3" ht="15.75" customHeight="1"/>
    <row r="54" spans="1:3" ht="15.75" customHeight="1"/>
    <row r="55" spans="1:3" ht="15.75" customHeight="1"/>
    <row r="56" spans="1:3" ht="15.75" customHeight="1"/>
    <row r="57" spans="1:3" ht="15.75" customHeight="1"/>
    <row r="58" spans="1:3" ht="15.75" customHeight="1"/>
    <row r="59" spans="1:3" ht="15.75" customHeight="1"/>
    <row r="60" spans="1:3" ht="15.75" customHeight="1"/>
    <row r="61" spans="1:3" ht="15.75" customHeight="1"/>
    <row r="62" spans="1:3" ht="15.75" customHeight="1"/>
    <row r="63" spans="1:3" ht="15.75" customHeight="1"/>
    <row r="64" spans="1:3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09b7683-c015-44e4-bdf6-5cb592c6569c">
      <Terms xmlns="http://schemas.microsoft.com/office/infopath/2007/PartnerControls"/>
    </lcf76f155ced4ddcb4097134ff3c332f>
    <TaxCatchAll xmlns="38f89215-5b2e-4ad2-81d8-21f0bc017b44" xsi:nil="true"/>
    <_x05ea__x05d9__x05d0__x05d5__x05e8__x0020__x05d4__x05d1__x05e2__x05d9__x05d4_ xmlns="509b7683-c015-44e4-bdf6-5cb592c6569c" xsi:nil="true"/>
  </documentManagement>
</p:properties>
</file>

<file path=customXml/item2.xml>��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7D2FF3C4DD0193449167A5C0D4B07B2C" ma:contentTypeVersion="13" ma:contentTypeDescription="צור מסמך חדש." ma:contentTypeScope="" ma:versionID="23cc5fe218c81a58ba7b41ff5440bf1a">
  <xsd:schema xmlns:xsd="http://www.w3.org/2001/XMLSchema" xmlns:xs="http://www.w3.org/2001/XMLSchema" xmlns:p="http://schemas.microsoft.com/office/2006/metadata/properties" xmlns:ns2="509b7683-c015-44e4-bdf6-5cb592c6569c" xmlns:ns3="38f89215-5b2e-4ad2-81d8-21f0bc017b44" targetNamespace="http://schemas.microsoft.com/office/2006/metadata/properties" ma:root="true" ma:fieldsID="b64ea81c527b9f1c3158afc4d1b01dba" ns2:_="" ns3:_="">
    <xsd:import namespace="509b7683-c015-44e4-bdf6-5cb592c6569c"/>
    <xsd:import namespace="38f89215-5b2e-4ad2-81d8-21f0bc017b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_x05ea__x05d9__x05d0__x05d5__x05e8__x0020__x05d4__x05d1__x05e2__x05d9__x05d4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9b7683-c015-44e4-bdf6-5cb592c6569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תגיות תמונה" ma:readOnly="false" ma:fieldId="{5cf76f15-5ced-4ddc-b409-7134ff3c332f}" ma:taxonomyMulti="true" ma:sspId="3a6b797a-74ca-440d-9f33-86cbf789698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x05ea__x05d9__x05d0__x05d5__x05e8__x0020__x05d4__x05d1__x05e2__x05d9__x05d4_" ma:index="20" nillable="true" ma:displayName="תיאור הבעיה" ma:description="תיאור הבעיה שנמצאה בדאטה" ma:internalName="_x05ea__x05d9__x05d0__x05d5__x05e8__x0020__x05d4__x05d1__x05e2__x05d9__x05d4_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f89215-5b2e-4ad2-81d8-21f0bc017b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010f589b-15c9-4ad0-a231-0cc81a1f8965}" ma:internalName="TaxCatchAll" ma:showField="CatchAllData" ma:web="38f89215-5b2e-4ad2-81d8-21f0bc017b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6C27027-FCAC-4D07-A4DC-E4C788B60D15}"/>
</file>

<file path=customXml/itemProps2.xml><?xml version="1.0" encoding="utf-8"?>
<ds:datastoreItem xmlns:ds="http://schemas.openxmlformats.org/officeDocument/2006/customXml" ds:itemID="{34195B23-FD77-4D93-8E6C-7D8551A4FF45}"/>
</file>

<file path=customXml/itemProps3.xml><?xml version="1.0" encoding="utf-8"?>
<ds:datastoreItem xmlns:ds="http://schemas.openxmlformats.org/officeDocument/2006/customXml" ds:itemID="{9876A2EA-2FEA-45E5-BB68-7A50710F288D}"/>
</file>

<file path=customXml/itemProps4.xml><?xml version="1.0" encoding="utf-8"?>
<ds:datastoreItem xmlns:ds="http://schemas.openxmlformats.org/officeDocument/2006/customXml" ds:itemID="{A63465D4-5AA7-4FBC-8C0C-04E72A1E9A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איילה</dc:creator>
  <cp:keywords/>
  <dc:description/>
  <cp:lastModifiedBy>Michal Revivo</cp:lastModifiedBy>
  <cp:revision/>
  <dcterms:created xsi:type="dcterms:W3CDTF">2025-09-16T08:32:11Z</dcterms:created>
  <dcterms:modified xsi:type="dcterms:W3CDTF">2026-10-05T08:17:27Z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0x0101007D2FF3C4DD0193449167A5C0D4B07B2C</vt:lpwstr>
  </property>
  <property fmtid="{D5CDD505-2E9C-101B-9397-08002B2CF9AE}" pid="3" name="MediaServiceImageTags">
    <vt:lpwstr/>
  </property>
</Properties>
</file>